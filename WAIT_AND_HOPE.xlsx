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200" tabRatio="735" firstSheet="6" activeTab="15"/>
  </bookViews>
  <sheets>
    <sheet name="策略" sheetId="1" r:id="rId1"/>
    <sheet name="300价值" sheetId="8" r:id="rId2"/>
    <sheet name="沪深300" sheetId="4" r:id="rId3"/>
    <sheet name="基本面50" sheetId="6" r:id="rId4"/>
    <sheet name="50AH" sheetId="9" r:id="rId5"/>
    <sheet name="上证50" sheetId="12" r:id="rId6"/>
    <sheet name="中证500" sheetId="13" r:id="rId7"/>
    <sheet name="中小板" sheetId="14" r:id="rId8"/>
    <sheet name="银行" sheetId="3" r:id="rId9"/>
    <sheet name="证券" sheetId="5" r:id="rId10"/>
    <sheet name="军工" sheetId="2" r:id="rId11"/>
    <sheet name="地产等权" sheetId="7" r:id="rId12"/>
    <sheet name="基建" sheetId="10" r:id="rId13"/>
    <sheet name="养老" sheetId="11" r:id="rId14"/>
    <sheet name="中证红利" sheetId="15" r:id="rId15"/>
    <sheet name="恒生指数" sheetId="16" r:id="rId16"/>
    <sheet name="中证保险" sheetId="17" r:id="rId17"/>
  </sheets>
  <calcPr calcId="144525"/>
</workbook>
</file>

<file path=xl/sharedStrings.xml><?xml version="1.0" encoding="utf-8"?>
<sst xmlns="http://schemas.openxmlformats.org/spreadsheetml/2006/main" count="44">
  <si>
    <t>军工</t>
  </si>
  <si>
    <t>50AHA</t>
  </si>
  <si>
    <t>300价值</t>
  </si>
  <si>
    <t>中证500</t>
  </si>
  <si>
    <t>基本面50</t>
  </si>
  <si>
    <t>银行</t>
  </si>
  <si>
    <t>PE 7.99/4.33%</t>
  </si>
  <si>
    <t>PE 7.34/14.84%</t>
  </si>
  <si>
    <t>PE 8.47/23.84%</t>
  </si>
  <si>
    <t>沪深300</t>
  </si>
  <si>
    <t>PB 0.93/2.07%</t>
  </si>
  <si>
    <t>PB 0.88/0.72%</t>
  </si>
  <si>
    <t>PB 1.04/7%</t>
  </si>
  <si>
    <t>证券</t>
  </si>
  <si>
    <t>地产等权</t>
  </si>
  <si>
    <t>基建</t>
  </si>
  <si>
    <t>养老</t>
  </si>
  <si>
    <t>上证50</t>
  </si>
  <si>
    <t>中小板</t>
  </si>
  <si>
    <t>中证红利</t>
  </si>
  <si>
    <t>恒生指数</t>
  </si>
  <si>
    <t>PE 11.38/34.76%</t>
  </si>
  <si>
    <t>PB 1.36/14.88%</t>
  </si>
  <si>
    <t>PE  8.86/18.48%</t>
  </si>
  <si>
    <t>PB 1.09/1.84%</t>
  </si>
  <si>
    <t>PE  26.37/21.12%</t>
  </si>
  <si>
    <t>PB 1.83/10.52%</t>
  </si>
  <si>
    <t>PE 28.28/34%</t>
  </si>
  <si>
    <t>PB 3.51/32%</t>
  </si>
  <si>
    <t>PE 5.89/25.64%</t>
  </si>
  <si>
    <t>PB 0.73/1.03%</t>
  </si>
  <si>
    <t>PE 26.14/57.03%</t>
  </si>
  <si>
    <t>PB 1.69/32.21%</t>
  </si>
  <si>
    <t>PE 56.7/12.41%</t>
  </si>
  <si>
    <t>PB 2.59/23.39%</t>
  </si>
  <si>
    <t xml:space="preserve"> </t>
  </si>
  <si>
    <t>PE 7.06/1.4%</t>
  </si>
  <si>
    <t>PB 1.36/2.71%</t>
  </si>
  <si>
    <t>PE  7.78/2.05%</t>
  </si>
  <si>
    <t>PB 0.77/1.56%</t>
  </si>
  <si>
    <t>PE  18.56/5.86%</t>
  </si>
  <si>
    <t>PB 2.98/47.45%</t>
  </si>
  <si>
    <t>PE  6.65/11.28%</t>
  </si>
  <si>
    <t>PB 0.76/0.08%</t>
  </si>
</sst>
</file>

<file path=xl/styles.xml><?xml version="1.0" encoding="utf-8"?>
<styleSheet xmlns="http://schemas.openxmlformats.org/spreadsheetml/2006/main">
  <numFmts count="6">
    <numFmt numFmtId="7" formatCode="&quot;￥&quot;#,##0.00;&quot;￥&quot;\-#,##0.00"/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2"/>
      <color rgb="FF00B050"/>
      <name val="宋体"/>
      <charset val="134"/>
    </font>
    <font>
      <sz val="12"/>
      <color rgb="FF000000"/>
      <name val="宋体"/>
      <charset val="134"/>
      <scheme val="major"/>
    </font>
    <font>
      <strike/>
      <sz val="12"/>
      <color rgb="FF000000"/>
      <name val="宋体"/>
      <charset val="134"/>
    </font>
    <font>
      <sz val="12"/>
      <color rgb="FF92D050"/>
      <name val="宋体"/>
      <charset val="134"/>
    </font>
    <font>
      <u/>
      <sz val="11"/>
      <color rgb="FF800080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134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6" fillId="31" borderId="8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3" fillId="22" borderId="8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8" fillId="18" borderId="4" applyNumberFormat="0" applyAlignment="0" applyProtection="0">
      <alignment vertical="center"/>
    </xf>
    <xf numFmtId="0" fontId="22" fillId="22" borderId="7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9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6" fillId="0" borderId="0">
      <alignment vertical="top"/>
      <protection locked="0"/>
    </xf>
    <xf numFmtId="41" fontId="10" fillId="0" borderId="0" applyFon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>
      <alignment vertical="center"/>
    </xf>
    <xf numFmtId="14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7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7" fontId="2" fillId="2" borderId="0" xfId="0" applyNumberFormat="1" applyFont="1" applyFill="1">
      <alignment vertical="center"/>
    </xf>
    <xf numFmtId="7" fontId="0" fillId="3" borderId="0" xfId="0" applyNumberFormat="1" applyFont="1" applyFill="1">
      <alignment vertical="center"/>
    </xf>
    <xf numFmtId="7" fontId="1" fillId="4" borderId="0" xfId="0" applyNumberFormat="1" applyFont="1" applyFill="1">
      <alignment vertical="center"/>
    </xf>
    <xf numFmtId="7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7" fontId="2" fillId="0" borderId="0" xfId="0" applyNumberFormat="1" applyFont="1" applyFill="1">
      <alignment vertical="center"/>
    </xf>
    <xf numFmtId="14" fontId="1" fillId="0" borderId="0" xfId="0" applyNumberFormat="1" applyFont="1" applyFill="1">
      <alignment vertical="center"/>
    </xf>
    <xf numFmtId="7" fontId="1" fillId="0" borderId="0" xfId="0" applyNumberFormat="1" applyFont="1" applyFill="1">
      <alignment vertical="center"/>
    </xf>
    <xf numFmtId="10" fontId="1" fillId="2" borderId="0" xfId="0" applyNumberFormat="1" applyFont="1" applyFill="1">
      <alignment vertical="center"/>
    </xf>
    <xf numFmtId="7" fontId="1" fillId="3" borderId="0" xfId="0" applyNumberFormat="1" applyFont="1" applyFill="1">
      <alignment vertical="center"/>
    </xf>
    <xf numFmtId="10" fontId="4" fillId="0" borderId="0" xfId="0" applyNumberFormat="1" applyFont="1">
      <alignment vertical="center"/>
    </xf>
    <xf numFmtId="7" fontId="4" fillId="0" borderId="0" xfId="0" applyNumberFormat="1" applyFont="1">
      <alignment vertical="center"/>
    </xf>
    <xf numFmtId="0" fontId="5" fillId="0" borderId="0" xfId="0" applyFont="1">
      <alignment vertical="center"/>
    </xf>
    <xf numFmtId="7" fontId="0" fillId="0" borderId="0" xfId="0" applyNumberFormat="1">
      <alignment vertical="center"/>
    </xf>
    <xf numFmtId="4" fontId="1" fillId="2" borderId="0" xfId="0" applyNumberFormat="1" applyFont="1" applyFill="1">
      <alignment vertical="center"/>
    </xf>
    <xf numFmtId="10" fontId="0" fillId="0" borderId="0" xfId="0" applyNumberFormat="1">
      <alignment vertical="center"/>
    </xf>
    <xf numFmtId="176" fontId="1" fillId="2" borderId="0" xfId="0" applyNumberFormat="1" applyFont="1" applyFill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10" fontId="1" fillId="5" borderId="0" xfId="0" applyNumberFormat="1" applyFont="1" applyFill="1">
      <alignment vertical="center"/>
    </xf>
    <xf numFmtId="0" fontId="7" fillId="0" borderId="0" xfId="41" applyFont="1" applyAlignment="1" applyProtection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19685</xdr:colOff>
      <xdr:row>21</xdr:row>
      <xdr:rowOff>215265</xdr:rowOff>
    </xdr:from>
    <xdr:to>
      <xdr:col>1</xdr:col>
      <xdr:colOff>1203325</xdr:colOff>
      <xdr:row>24</xdr:row>
      <xdr:rowOff>189865</xdr:rowOff>
    </xdr:to>
    <xdr:sp>
      <xdr:nvSpPr>
        <xdr:cNvPr id="2" name=" "/>
        <xdr:cNvSpPr txBox="1"/>
      </xdr:nvSpPr>
      <xdr:spPr>
        <a:xfrm>
          <a:off x="19685" y="4909185"/>
          <a:ext cx="2072640" cy="6451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100">
              <a:solidFill>
                <a:srgbClr val="000000"/>
              </a:solidFill>
              <a:latin typeface="宋体" charset="0"/>
              <a:ea typeface="宋体" charset="0"/>
            </a:rPr>
            <a:t>增量资金做定投</a:t>
          </a:r>
          <a:endParaRPr lang="en-US" altLang="zh-CN" sz="1100">
            <a:solidFill>
              <a:srgbClr val="000000"/>
            </a:solidFill>
            <a:latin typeface="宋体" charset="0"/>
            <a:ea typeface="宋体" charset="0"/>
          </a:endParaRPr>
        </a:p>
        <a:p>
          <a:pPr algn="l"/>
          <a:r>
            <a:rPr lang="en-US" altLang="zh-CN" sz="1100">
              <a:solidFill>
                <a:srgbClr val="000000"/>
              </a:solidFill>
              <a:latin typeface="宋体" charset="0"/>
              <a:ea typeface="宋体" charset="0"/>
            </a:rPr>
            <a:t>存量资金分批买入</a:t>
          </a:r>
          <a:endParaRPr lang="en-US" altLang="zh-CN" sz="1100">
            <a:solidFill>
              <a:srgbClr val="000000"/>
            </a:solidFill>
            <a:latin typeface="宋体" charset="0"/>
            <a:ea typeface="宋体" charset="0"/>
          </a:endParaRPr>
        </a:p>
        <a:p>
          <a:pPr algn="l"/>
          <a:r>
            <a:rPr lang="en-US" altLang="zh-CN" sz="1100">
              <a:solidFill>
                <a:srgbClr val="000000"/>
              </a:solidFill>
              <a:latin typeface="宋体" charset="0"/>
              <a:ea typeface="宋体" charset="0"/>
            </a:rPr>
            <a:t>宁愿少</a:t>
          </a:r>
          <a:r>
            <a:rPr lang="zh-CN" altLang="en-US" sz="1100">
              <a:solidFill>
                <a:srgbClr val="000000"/>
              </a:solidFill>
              <a:latin typeface="宋体" charset="0"/>
              <a:ea typeface="宋体" charset="0"/>
            </a:rPr>
            <a:t>买</a:t>
          </a:r>
          <a:r>
            <a:rPr lang="en-US" altLang="zh-CN" sz="1100">
              <a:solidFill>
                <a:srgbClr val="000000"/>
              </a:solidFill>
              <a:latin typeface="宋体" charset="0"/>
              <a:ea typeface="宋体" charset="0"/>
            </a:rPr>
            <a:t>一点，也不买高</a:t>
          </a:r>
          <a:endParaRPr lang="en-US" altLang="zh-CN" sz="1100">
            <a:solidFill>
              <a:srgbClr val="000000"/>
            </a:solidFill>
            <a:latin typeface="宋体" charset="0"/>
            <a:ea typeface="宋体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J17"/>
  <sheetViews>
    <sheetView workbookViewId="0">
      <selection activeCell="H22" sqref="H22"/>
    </sheetView>
  </sheetViews>
  <sheetFormatPr defaultColWidth="9" defaultRowHeight="17.6"/>
  <cols>
    <col min="1" max="1" width="12.5" customWidth="1"/>
    <col min="2" max="2" width="20.8303571428571" customWidth="1"/>
    <col min="3" max="3" width="15.7678571428571" customWidth="1"/>
    <col min="4" max="5" width="20.8303571428571" customWidth="1"/>
    <col min="6" max="6" width="27.6785714285714" customWidth="1"/>
    <col min="7" max="7" width="23.6517857142857" customWidth="1"/>
    <col min="8" max="8" width="24.0982142857143" customWidth="1"/>
    <col min="9" max="9" width="23.5089285714286" customWidth="1"/>
    <col min="10" max="10" width="22.3214285714286" customWidth="1"/>
    <col min="11" max="11" width="28.2678571428571" customWidth="1"/>
    <col min="12" max="12" width="14.4285714285714" style="5" customWidth="1"/>
    <col min="13" max="13" width="15.4732142857143" customWidth="1"/>
    <col min="14" max="14" width="11.1517857142857" customWidth="1"/>
  </cols>
  <sheetData>
    <row r="2" spans="1:10">
      <c r="A2" t="s">
        <v>0</v>
      </c>
      <c r="B2" s="5">
        <f>军工!C41</f>
        <v>23200</v>
      </c>
      <c r="C2" s="5">
        <f>军工!D41</f>
        <v>1600</v>
      </c>
      <c r="D2" s="4">
        <f>B2/B17</f>
        <v>0.0363949470711227</v>
      </c>
      <c r="E2" s="4"/>
      <c r="F2" s="2">
        <v>43940</v>
      </c>
      <c r="G2" s="27" t="s">
        <v>1</v>
      </c>
      <c r="H2" s="27" t="s">
        <v>2</v>
      </c>
      <c r="I2" s="27" t="s">
        <v>3</v>
      </c>
      <c r="J2" s="27" t="s">
        <v>4</v>
      </c>
    </row>
    <row r="3" spans="1:10">
      <c r="A3" t="s">
        <v>5</v>
      </c>
      <c r="B3" s="5">
        <f>银行!C41</f>
        <v>59301.5548</v>
      </c>
      <c r="C3" s="5">
        <f>银行!D41</f>
        <v>4089.7624</v>
      </c>
      <c r="D3" s="4">
        <f>B3/B17</f>
        <v>0.0930291788009173</v>
      </c>
      <c r="E3" s="4"/>
      <c r="G3" s="15" t="s">
        <v>6</v>
      </c>
      <c r="H3" s="15" t="s">
        <v>7</v>
      </c>
      <c r="I3" s="15" t="s">
        <v>7</v>
      </c>
      <c r="J3" s="15" t="s">
        <v>8</v>
      </c>
    </row>
    <row r="4" spans="1:10">
      <c r="A4" t="s">
        <v>9</v>
      </c>
      <c r="B4" s="5">
        <f>沪深300!C41</f>
        <v>39843.5615025</v>
      </c>
      <c r="C4" s="5">
        <f>沪深300!D41</f>
        <v>0</v>
      </c>
      <c r="D4" s="4">
        <f>B4/B17</f>
        <v>0.0625044962072634</v>
      </c>
      <c r="E4" s="4"/>
      <c r="G4" s="15" t="s">
        <v>10</v>
      </c>
      <c r="H4" s="15" t="s">
        <v>11</v>
      </c>
      <c r="I4" s="15" t="s">
        <v>11</v>
      </c>
      <c r="J4" s="15" t="s">
        <v>12</v>
      </c>
    </row>
    <row r="5" spans="1:5">
      <c r="A5" t="s">
        <v>13</v>
      </c>
      <c r="B5" s="5">
        <f>证券!C41</f>
        <v>15937.424601</v>
      </c>
      <c r="C5" s="5">
        <f>证券!D41</f>
        <v>0</v>
      </c>
      <c r="D5" s="4">
        <f>B5/B17</f>
        <v>0.0250017984829053</v>
      </c>
      <c r="E5" s="4"/>
    </row>
    <row r="6" spans="1:5">
      <c r="A6" t="s">
        <v>4</v>
      </c>
      <c r="B6" s="5">
        <f>基本面50!C41</f>
        <v>27093.6218217</v>
      </c>
      <c r="C6" s="5">
        <f>基本面50!D41</f>
        <v>1700</v>
      </c>
      <c r="D6" s="4">
        <f>B6/B17</f>
        <v>0.0425030574209391</v>
      </c>
      <c r="E6" s="4"/>
    </row>
    <row r="7" spans="1:5">
      <c r="A7" t="s">
        <v>14</v>
      </c>
      <c r="B7" s="5">
        <f>地产等权!C41</f>
        <v>38249.8190424</v>
      </c>
      <c r="C7" s="5">
        <f>地产等权!D41</f>
        <v>5040</v>
      </c>
      <c r="D7" s="4">
        <f>B7/B17</f>
        <v>0.0600043163589728</v>
      </c>
      <c r="E7" s="4"/>
    </row>
    <row r="8" spans="1:5">
      <c r="A8" t="s">
        <v>2</v>
      </c>
      <c r="B8" s="5">
        <f>'300价值'!C41</f>
        <v>79687.123005</v>
      </c>
      <c r="C8" s="5">
        <f>'300价值'!D41</f>
        <v>10500</v>
      </c>
      <c r="D8" s="4">
        <f>B8/B17</f>
        <v>0.125008992414527</v>
      </c>
      <c r="E8" s="4"/>
    </row>
    <row r="9" spans="1:5">
      <c r="A9" t="s">
        <v>1</v>
      </c>
      <c r="B9" s="5">
        <f>'50AH'!C41</f>
        <v>43031.0464227</v>
      </c>
      <c r="C9" s="5">
        <f>'50AH'!D41</f>
        <v>2700</v>
      </c>
      <c r="D9" s="4">
        <f>B9/B17</f>
        <v>0.0675048559038444</v>
      </c>
      <c r="E9" s="4"/>
    </row>
    <row r="10" spans="1:5">
      <c r="A10" t="s">
        <v>15</v>
      </c>
      <c r="B10" s="5">
        <f>基建!C41</f>
        <v>17858.3623881585</v>
      </c>
      <c r="C10" s="5">
        <f>基建!D41</f>
        <v>2353.113</v>
      </c>
      <c r="D10" s="4">
        <f>B10/B17</f>
        <v>0.0280152652540499</v>
      </c>
      <c r="E10" s="4"/>
    </row>
    <row r="11" spans="1:5">
      <c r="A11" t="s">
        <v>16</v>
      </c>
      <c r="B11" s="5">
        <f>养老!C41</f>
        <v>43031.0464227</v>
      </c>
      <c r="C11" s="5">
        <f>养老!D41</f>
        <v>0</v>
      </c>
      <c r="D11" s="4">
        <f>B11/B17</f>
        <v>0.0675048559038444</v>
      </c>
      <c r="E11" s="4"/>
    </row>
    <row r="12" spans="1:5">
      <c r="A12" t="s">
        <v>17</v>
      </c>
      <c r="B12" s="5">
        <f>上证50!C41</f>
        <v>63749.698404</v>
      </c>
      <c r="C12" s="5">
        <f>上证50!D41</f>
        <v>0</v>
      </c>
      <c r="D12" s="4">
        <f>B12/B17</f>
        <v>0.100007193931621</v>
      </c>
      <c r="E12" s="4"/>
    </row>
    <row r="13" spans="1:5">
      <c r="A13" t="s">
        <v>3</v>
      </c>
      <c r="B13" s="5">
        <f>中证500!C41</f>
        <v>47812.273803</v>
      </c>
      <c r="C13" s="5">
        <f>中证500!D41</f>
        <v>3000</v>
      </c>
      <c r="D13" s="4">
        <f>B13/B17</f>
        <v>0.075005395448716</v>
      </c>
      <c r="E13" s="4"/>
    </row>
    <row r="14" spans="1:5">
      <c r="A14" t="s">
        <v>18</v>
      </c>
      <c r="B14" s="5">
        <f>中小板!C41</f>
        <v>87655.8353055001</v>
      </c>
      <c r="C14" s="5">
        <f>中小板!D41</f>
        <v>0</v>
      </c>
      <c r="D14" s="4">
        <f>B14/B17</f>
        <v>0.13750989165598</v>
      </c>
      <c r="E14" s="4"/>
    </row>
    <row r="15" spans="1:4">
      <c r="A15" t="s">
        <v>19</v>
      </c>
      <c r="B15" s="5">
        <f>中证红利!C41</f>
        <v>19124.9095212</v>
      </c>
      <c r="C15" s="5">
        <f>中证红利!D41</f>
        <v>1200</v>
      </c>
      <c r="D15" s="4">
        <f>B15/B17</f>
        <v>0.0300021581794864</v>
      </c>
    </row>
    <row r="16" spans="1:3">
      <c r="A16" t="s">
        <v>20</v>
      </c>
      <c r="B16">
        <f>恒生指数!C41</f>
        <v>31874.849202</v>
      </c>
      <c r="C16">
        <f>恒生指数!D41</f>
        <v>2000</v>
      </c>
    </row>
    <row r="17" spans="2:4">
      <c r="B17" s="9">
        <f>SUM(B2:B16)</f>
        <v>637451.126241859</v>
      </c>
      <c r="C17" s="16">
        <f>SUM(C2:C16)</f>
        <v>34182.8754</v>
      </c>
      <c r="D17" s="26">
        <f>C17/B17</f>
        <v>0.0536243077983527</v>
      </c>
    </row>
  </sheetData>
  <hyperlinks>
    <hyperlink ref="G2" location="'50AHA'!A1" display="50AHA"/>
    <hyperlink ref="H2" location="'300价值'!A1" display="300价值"/>
    <hyperlink ref="I2" location="中证500!A1" display="中证500"/>
    <hyperlink ref="J2" location="基本面50!A1" display="基本面50"/>
  </hyperlinks>
  <pageMargins left="0.75" right="0.75" top="1" bottom="1" header="0.511805555555556" footer="0.511805555555556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W41"/>
  <sheetViews>
    <sheetView topLeftCell="A3" workbookViewId="0">
      <selection activeCell="J11" sqref="J11"/>
    </sheetView>
  </sheetViews>
  <sheetFormatPr defaultColWidth="9" defaultRowHeight="17.6"/>
  <cols>
    <col min="1" max="1" width="15.7767857142857" customWidth="1"/>
    <col min="2" max="2" width="15.4732142857143" customWidth="1"/>
    <col min="3" max="3" width="16.9642857142857" customWidth="1"/>
    <col min="4" max="4" width="12.7857142857143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3.0892857142857" customWidth="1"/>
    <col min="12" max="20" width="10.7857142857143" customWidth="1"/>
    <col min="21" max="21" width="13" customWidth="1"/>
    <col min="22" max="22" width="10.7857142857143" customWidth="1"/>
    <col min="23" max="23" width="12.6517857142857" customWidth="1"/>
    <col min="24" max="24" width="17.5625" customWidth="1"/>
  </cols>
  <sheetData>
    <row r="1" customFormat="1" spans="1:2">
      <c r="A1" s="2">
        <v>43940</v>
      </c>
      <c r="B1" s="2"/>
    </row>
    <row r="2" customFormat="1" spans="1:21">
      <c r="A2" s="15" t="s">
        <v>7</v>
      </c>
      <c r="K2" s="5"/>
      <c r="L2" s="5"/>
      <c r="M2" s="5"/>
      <c r="N2" s="5"/>
      <c r="O2" s="5"/>
      <c r="P2" s="5"/>
      <c r="Q2" s="5"/>
      <c r="R2" s="5"/>
      <c r="S2" s="5"/>
      <c r="U2" s="14"/>
    </row>
    <row r="3" customFormat="1" spans="1:19">
      <c r="A3" s="15" t="s">
        <v>11</v>
      </c>
      <c r="K3" s="3"/>
      <c r="L3" s="3"/>
      <c r="M3" s="3"/>
      <c r="N3" s="3"/>
      <c r="O3" s="3"/>
      <c r="P3" s="3"/>
      <c r="Q3" s="3"/>
      <c r="R3" s="3"/>
      <c r="S3" s="3"/>
    </row>
    <row r="4" customFormat="1" spans="4:11">
      <c r="D4" s="2">
        <v>43946</v>
      </c>
      <c r="E4" s="2">
        <v>43957</v>
      </c>
      <c r="F4" s="2">
        <v>43963</v>
      </c>
      <c r="G4" s="2">
        <v>43971</v>
      </c>
      <c r="H4" s="2">
        <v>43986</v>
      </c>
      <c r="I4" s="2">
        <v>43993</v>
      </c>
      <c r="J4" s="2">
        <v>44022</v>
      </c>
      <c r="K4" s="2">
        <v>44028</v>
      </c>
    </row>
    <row r="5" customFormat="1" spans="1:23">
      <c r="A5" s="3">
        <f t="shared" ref="A5:A12" si="0">A6*105%</f>
        <v>6905.10963486475</v>
      </c>
      <c r="B5" s="4">
        <f>(A5-A13)/A13</f>
        <v>0.477455443789063</v>
      </c>
      <c r="C5" s="5">
        <f t="shared" ref="C5:C12" si="1">C6*0.9</f>
        <v>172.186884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customFormat="1" spans="1:23">
      <c r="A6" s="3">
        <f t="shared" si="0"/>
        <v>6576.29489034738</v>
      </c>
      <c r="B6" s="4">
        <f>(A6-A13)/A13</f>
        <v>0.40710042265625</v>
      </c>
      <c r="C6" s="5">
        <f t="shared" si="1"/>
        <v>191.31876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1" spans="1:3">
      <c r="A7" s="3">
        <f t="shared" si="0"/>
        <v>6263.13799080703</v>
      </c>
      <c r="B7" s="4">
        <f>(A7-A13)/A13</f>
        <v>0.340095640625</v>
      </c>
      <c r="C7" s="5">
        <f t="shared" si="1"/>
        <v>212.5764</v>
      </c>
    </row>
    <row r="8" customFormat="1" spans="1:9">
      <c r="A8" s="3">
        <f t="shared" si="0"/>
        <v>5964.89332457813</v>
      </c>
      <c r="B8" s="4">
        <f>(A8-A13)/A13</f>
        <v>0.2762815625</v>
      </c>
      <c r="C8" s="5">
        <f t="shared" si="1"/>
        <v>236.196</v>
      </c>
      <c r="I8" s="3"/>
    </row>
    <row r="9" customFormat="1" spans="1:9">
      <c r="A9" s="3">
        <f t="shared" si="0"/>
        <v>5680.8507853125</v>
      </c>
      <c r="B9" s="4">
        <f>(A9-A13)/A13</f>
        <v>0.21550625</v>
      </c>
      <c r="C9" s="5">
        <f t="shared" si="1"/>
        <v>262.44</v>
      </c>
      <c r="I9" s="3"/>
    </row>
    <row r="10" customFormat="1" spans="1:9">
      <c r="A10" s="3">
        <f t="shared" si="0"/>
        <v>5410.33408125</v>
      </c>
      <c r="B10" s="4">
        <f>(A10-A13)/A13</f>
        <v>0.157625</v>
      </c>
      <c r="C10" s="5">
        <f t="shared" si="1"/>
        <v>291.6</v>
      </c>
      <c r="I10" s="3"/>
    </row>
    <row r="11" customFormat="1" spans="1:10">
      <c r="A11" s="3">
        <f t="shared" si="0"/>
        <v>5152.699125</v>
      </c>
      <c r="B11" s="4">
        <f>(A11-A13)/A13</f>
        <v>0.1025</v>
      </c>
      <c r="C11" s="5">
        <f t="shared" si="1"/>
        <v>324</v>
      </c>
      <c r="I11" s="3"/>
      <c r="J11" s="8">
        <v>1000</v>
      </c>
    </row>
    <row r="12" customFormat="1" spans="1:23">
      <c r="A12" s="3">
        <f t="shared" si="0"/>
        <v>4907.3325</v>
      </c>
      <c r="B12" s="4">
        <f>(A12-A13)/A13</f>
        <v>0.05</v>
      </c>
      <c r="C12" s="5">
        <f t="shared" si="1"/>
        <v>360</v>
      </c>
      <c r="D12" s="5"/>
      <c r="E12" s="5"/>
      <c r="F12" s="5"/>
      <c r="G12" s="5"/>
      <c r="H12" s="5"/>
      <c r="I12" s="5"/>
      <c r="K12" s="8">
        <v>400</v>
      </c>
      <c r="T12" s="5"/>
      <c r="U12" s="5"/>
      <c r="V12" s="5"/>
      <c r="W12" s="5"/>
    </row>
    <row r="13" customFormat="1" spans="1:23">
      <c r="A13" s="6">
        <v>4673.65</v>
      </c>
      <c r="B13">
        <f>(A13-A13)/A13</f>
        <v>0</v>
      </c>
      <c r="C13" s="7">
        <v>400</v>
      </c>
      <c r="D13" s="6">
        <v>4252.2</v>
      </c>
      <c r="E13" s="6">
        <v>4484.34</v>
      </c>
      <c r="F13" s="6">
        <v>4497.22</v>
      </c>
      <c r="G13" s="6">
        <v>4469.32</v>
      </c>
      <c r="H13" s="23">
        <v>4499.96</v>
      </c>
      <c r="I13" s="23">
        <v>4438.02</v>
      </c>
      <c r="J13" s="3"/>
      <c r="T13" s="3"/>
      <c r="U13" s="3"/>
      <c r="V13" s="3"/>
      <c r="W13" s="3"/>
    </row>
    <row r="14" customFormat="1" spans="1:3">
      <c r="A14" s="3">
        <f>A13*0.95</f>
        <v>4439.9675</v>
      </c>
      <c r="B14" s="4">
        <f>(A14-A13)/A13</f>
        <v>-0.05</v>
      </c>
      <c r="C14" s="5">
        <f>C13*1.1</f>
        <v>440</v>
      </c>
    </row>
    <row r="15" customFormat="1" spans="1:9">
      <c r="A15" s="3">
        <f>A13*0.9</f>
        <v>4206.285</v>
      </c>
      <c r="B15" s="4">
        <f>(A15-A13)/A13</f>
        <v>-0.1</v>
      </c>
      <c r="C15" s="5">
        <f>C13*1.2</f>
        <v>480</v>
      </c>
      <c r="I15" s="3"/>
    </row>
    <row r="16" customFormat="1" spans="1:9">
      <c r="A16" s="3">
        <f>A13*0.85</f>
        <v>3972.6025</v>
      </c>
      <c r="B16" s="4">
        <f>(A16-A13)/A13</f>
        <v>-0.15</v>
      </c>
      <c r="C16" s="5">
        <f>C13*1.3</f>
        <v>520</v>
      </c>
      <c r="I16" s="3"/>
    </row>
    <row r="17" customFormat="1" spans="1:9">
      <c r="A17" s="3">
        <f>A13*0.8</f>
        <v>3738.92</v>
      </c>
      <c r="B17" s="4">
        <f>(A17-A13)/A13</f>
        <v>-0.2</v>
      </c>
      <c r="C17" s="5">
        <f>C13*1.4</f>
        <v>560</v>
      </c>
      <c r="I17" s="3"/>
    </row>
    <row r="18" customFormat="1" spans="1:9">
      <c r="A18" s="3">
        <f>A13*0.75</f>
        <v>3505.2375</v>
      </c>
      <c r="B18" s="4">
        <f>(A18-A13)/A13</f>
        <v>-0.25</v>
      </c>
      <c r="C18" s="5">
        <f>C13*1.5</f>
        <v>600</v>
      </c>
      <c r="I18" s="3"/>
    </row>
    <row r="19" customFormat="1" spans="1:9">
      <c r="A19" s="3">
        <f>A13*0.7</f>
        <v>3271.555</v>
      </c>
      <c r="B19" s="4">
        <f>(A19-A13)/A13</f>
        <v>-0.3</v>
      </c>
      <c r="C19" s="5">
        <f>C13*1.6</f>
        <v>640</v>
      </c>
      <c r="I19" s="3"/>
    </row>
    <row r="20" spans="1:3">
      <c r="A20" s="3">
        <f>A13*0.65</f>
        <v>3037.8725</v>
      </c>
      <c r="B20" s="4">
        <f>(A20-A13)/A13</f>
        <v>-0.35</v>
      </c>
      <c r="C20" s="5">
        <f>C13*1.7</f>
        <v>680</v>
      </c>
    </row>
    <row r="21" spans="1:3">
      <c r="A21" s="3">
        <f>A13*0.6</f>
        <v>2804.19</v>
      </c>
      <c r="B21" s="4">
        <f>(A21-A13)/A13</f>
        <v>-0.4</v>
      </c>
      <c r="C21" s="5">
        <f>C13*1.8</f>
        <v>720</v>
      </c>
    </row>
    <row r="22" spans="1:3">
      <c r="A22" s="3">
        <f>A13*0.55</f>
        <v>2570.5075</v>
      </c>
      <c r="B22" s="4">
        <f>(A22-A13)/A13</f>
        <v>-0.45</v>
      </c>
      <c r="C22" s="5">
        <f>C13*1.9</f>
        <v>760</v>
      </c>
    </row>
    <row r="23" spans="1:3">
      <c r="A23" s="3">
        <f>A13*0.5</f>
        <v>2336.825</v>
      </c>
      <c r="B23" s="4">
        <f>(A23-A13)/A13</f>
        <v>-0.5</v>
      </c>
      <c r="C23" s="5">
        <f>C13*2</f>
        <v>800</v>
      </c>
    </row>
    <row r="24" spans="1:3">
      <c r="A24" s="3">
        <f>A13*0.45</f>
        <v>2103.1425</v>
      </c>
      <c r="B24" s="4">
        <f>(A24-A13)/A13</f>
        <v>-0.55</v>
      </c>
      <c r="C24" s="5">
        <f>C13*2.1</f>
        <v>840</v>
      </c>
    </row>
    <row r="25" spans="1:3">
      <c r="A25" s="3">
        <f>A13*0.4</f>
        <v>1869.46</v>
      </c>
      <c r="B25" s="4">
        <f>(A25-A13)/A13</f>
        <v>-0.6</v>
      </c>
      <c r="C25" s="5">
        <f>C13*2.2</f>
        <v>880</v>
      </c>
    </row>
    <row r="26" spans="1:6">
      <c r="A26" s="3">
        <f>A13*0.35</f>
        <v>1635.7775</v>
      </c>
      <c r="B26" s="4">
        <f>(A26-A13)/A13</f>
        <v>-0.65</v>
      </c>
      <c r="C26" s="5">
        <f>C13*2.3</f>
        <v>920</v>
      </c>
      <c r="F26" s="24"/>
    </row>
    <row r="27" spans="6:6">
      <c r="F27" s="25"/>
    </row>
    <row r="30" spans="1:6">
      <c r="A30" s="6">
        <v>4673.65</v>
      </c>
      <c r="B30">
        <f>(A30-A30)/A30</f>
        <v>0</v>
      </c>
      <c r="C30" s="7">
        <v>5000</v>
      </c>
      <c r="D30" s="8">
        <f>C30</f>
        <v>5000</v>
      </c>
      <c r="E30" s="10">
        <v>0</v>
      </c>
      <c r="F30" s="11">
        <v>0</v>
      </c>
    </row>
    <row r="31" spans="1:6">
      <c r="A31" s="3">
        <f>A30*0.95</f>
        <v>4439.9675</v>
      </c>
      <c r="B31" s="4">
        <f>(A31-A30)/A30</f>
        <v>-0.05</v>
      </c>
      <c r="C31" s="7">
        <f>C30*1.1</f>
        <v>5500</v>
      </c>
      <c r="D31" s="16">
        <f>D30*1.1</f>
        <v>5500</v>
      </c>
      <c r="E31" s="10">
        <f>(A31-A30)/A30*C30</f>
        <v>-250</v>
      </c>
      <c r="F31" s="11">
        <f>E31/SUM(C30:C31)</f>
        <v>-0.0238095238095238</v>
      </c>
    </row>
    <row r="32" spans="1:6">
      <c r="A32" s="3">
        <f>A30*0.9</f>
        <v>4206.285</v>
      </c>
      <c r="B32" s="4">
        <f>(A32-A30)/A30</f>
        <v>-0.1</v>
      </c>
      <c r="C32" s="5">
        <f t="shared" ref="C32:C39" si="2">C31*1.1</f>
        <v>6050</v>
      </c>
      <c r="E32" s="10">
        <f>(A32-A30)/A30*C30+(A32-A31)/A31*C31</f>
        <v>-789.473684210526</v>
      </c>
      <c r="F32" s="11">
        <f>E32/SUM(C30:C32)</f>
        <v>-0.0477023374145333</v>
      </c>
    </row>
    <row r="33" spans="1:6">
      <c r="A33" s="3">
        <f>A30*0.85</f>
        <v>3972.6025</v>
      </c>
      <c r="B33" s="4">
        <f>(A33-A30)/A30</f>
        <v>-0.15</v>
      </c>
      <c r="C33" s="5">
        <f t="shared" si="2"/>
        <v>6655</v>
      </c>
      <c r="E33" s="10">
        <f>(A33-A30)/A30*C30+(A33-A31)/A31*C31+(A33-A32)/A32*C32</f>
        <v>-1665.05847953216</v>
      </c>
      <c r="F33" s="11">
        <f>E33/SUM(C30:C33)</f>
        <v>-0.0717542977604897</v>
      </c>
    </row>
    <row r="34" spans="1:6">
      <c r="A34" s="3">
        <f>A30*0.8</f>
        <v>3738.92</v>
      </c>
      <c r="B34" s="4">
        <f>(A34-A30)/A30</f>
        <v>-0.2</v>
      </c>
      <c r="C34" s="5">
        <f t="shared" si="2"/>
        <v>7320.5</v>
      </c>
      <c r="E34" s="10">
        <f>(A34-A30)/A30*C30+(A34-A31)/A31*C31+(A34-A32)/A32*C32+(A34-A33)/A33*C33</f>
        <v>-2932.11386308909</v>
      </c>
      <c r="F34" s="11">
        <f>E34/SUM(C30:C34)</f>
        <v>-0.0960545728354685</v>
      </c>
    </row>
    <row r="35" spans="1:6">
      <c r="A35" s="3">
        <f>A30*0.75</f>
        <v>3505.2375</v>
      </c>
      <c r="B35" s="4">
        <f>(A35-A30)/A30</f>
        <v>-0.25</v>
      </c>
      <c r="C35" s="5">
        <f t="shared" si="2"/>
        <v>8052.55</v>
      </c>
      <c r="E35" s="10">
        <f>(A35-A30)/A30*C30+(A35-A31)/A31*C31+(A35-A32)/A32*C32+(A35-A33)/A33*C33+(A35-A34)/A34*C34</f>
        <v>-4656.70049664603</v>
      </c>
      <c r="F35" s="11">
        <f>E35/SUM(C30:C35)</f>
        <v>-0.120708550500765</v>
      </c>
    </row>
    <row r="36" spans="1:6">
      <c r="A36" s="3">
        <f>A30*0.7</f>
        <v>3271.555</v>
      </c>
      <c r="B36" s="4">
        <f>(A36-A30)/A30</f>
        <v>-0.3</v>
      </c>
      <c r="C36" s="5">
        <f t="shared" si="2"/>
        <v>8857.80500000001</v>
      </c>
      <c r="E36" s="10">
        <f>(A36-A30)/A30*C30+(A36-A31)/A31*C31+(A36-A32)/A32*C32+(A36-A33)/A33*C33+(A36-A34)/A34*C34+(A36-A35)/A35*C35</f>
        <v>-6918.12379686963</v>
      </c>
      <c r="F36" s="11">
        <f>E36/SUM(C30:C36)</f>
        <v>-0.145841659159925</v>
      </c>
    </row>
    <row r="37" spans="1:6">
      <c r="A37" s="3">
        <f>A30*0.65</f>
        <v>3037.8725</v>
      </c>
      <c r="B37" s="17">
        <f>(A37-A30)/A30</f>
        <v>-0.35</v>
      </c>
      <c r="C37" s="18">
        <f t="shared" si="2"/>
        <v>9743.58550000001</v>
      </c>
      <c r="E37" s="10">
        <f>(A37-A30)/A30*C30+(A37-A31)/A31*C31+(A37-A32)/A32*C32+(A37-A33)/A33*C33+(A37-A34)/A34*C34+(A37-A35)/A35*C35+(A37-A36)/A36*C36</f>
        <v>-9812.24745423608</v>
      </c>
      <c r="F37" s="11">
        <f>E37/SUM(C30:C37)</f>
        <v>-0.171604467767328</v>
      </c>
    </row>
    <row r="38" spans="1:6">
      <c r="A38" s="3">
        <f>A30*0.6</f>
        <v>2804.19</v>
      </c>
      <c r="B38" s="17">
        <f>(A38-A30)/A30</f>
        <v>-0.4</v>
      </c>
      <c r="C38" s="18">
        <f t="shared" si="2"/>
        <v>10717.94405</v>
      </c>
      <c r="E38" s="10">
        <f>(A38-A30)/A30*C30+(A38-A31)/A31*C31+(A38-A32)/A32*C32+(A38-A33)/A33*C33+(A38-A34)/A34*C34+(A38-A35)/A35*C35+(A38-A36)/A36*C36+(A38-A37)/A37*C37</f>
        <v>-13455.8776885256</v>
      </c>
      <c r="F38" s="11">
        <f>E38/SUM(C30:C38)</f>
        <v>-0.198179617340291</v>
      </c>
    </row>
    <row r="39" spans="1:6">
      <c r="A39" s="3">
        <f>A30*0.55</f>
        <v>2570.5075</v>
      </c>
      <c r="B39" s="17">
        <f>(A39-A30)/A30</f>
        <v>-0.45</v>
      </c>
      <c r="C39" s="18">
        <f t="shared" si="2"/>
        <v>11789.738455</v>
      </c>
      <c r="E39" s="10">
        <f>(A39-A30)/A30*C30+(A39-A31)/A31*C31+(A39-A32)/A32*C32+(A39-A33)/A33*C33+(A39-A34)/A34*C34+(A39-A35)/A35*C35+(A39-A36)/A36*C36+(A39-A37)/A37*C37+(A39-A38)/A38*C38</f>
        <v>-17992.6699269818</v>
      </c>
      <c r="F39" s="11">
        <f>E39/SUM(C30:C39)</f>
        <v>-0.225791435911833</v>
      </c>
    </row>
    <row r="41" spans="3:4">
      <c r="C41" s="9">
        <f>SUM(C30:C39)</f>
        <v>79687.123005</v>
      </c>
      <c r="D41" s="8">
        <f>SUM(D30:D39)</f>
        <v>10500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1"/>
  <sheetViews>
    <sheetView topLeftCell="A19" workbookViewId="0">
      <selection activeCell="I29" sqref="I29"/>
    </sheetView>
  </sheetViews>
  <sheetFormatPr defaultColWidth="9" defaultRowHeight="17.6"/>
  <cols>
    <col min="1" max="2" width="15.7767857142857" customWidth="1"/>
    <col min="3" max="3" width="21.1339285714286" customWidth="1"/>
    <col min="4" max="4" width="14.5803571428571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5.9196428571429" style="1" customWidth="1"/>
    <col min="12" max="12" width="13.0892857142857" customWidth="1"/>
    <col min="13" max="21" width="10.7857142857143" customWidth="1"/>
    <col min="22" max="22" width="13" customWidth="1"/>
    <col min="23" max="23" width="10.7857142857143" customWidth="1"/>
    <col min="24" max="24" width="12.6517857142857" customWidth="1"/>
    <col min="25" max="25" width="17.5625" customWidth="1"/>
  </cols>
  <sheetData>
    <row r="1" customFormat="1" spans="1:11">
      <c r="A1" s="2">
        <v>43940</v>
      </c>
      <c r="B1" s="2"/>
      <c r="K1" s="1"/>
    </row>
    <row r="2" customFormat="1" spans="1:20">
      <c r="A2" s="15" t="s">
        <v>21</v>
      </c>
      <c r="K2" s="12"/>
      <c r="L2" s="5"/>
      <c r="M2" s="5"/>
      <c r="N2" s="5"/>
      <c r="O2" s="5"/>
      <c r="P2" s="5"/>
      <c r="Q2" s="5"/>
      <c r="R2" s="5"/>
      <c r="S2" s="5"/>
      <c r="T2" s="5"/>
    </row>
    <row r="3" customFormat="1" spans="1:20">
      <c r="A3" s="15" t="s">
        <v>22</v>
      </c>
      <c r="K3" s="1"/>
      <c r="L3" s="3"/>
      <c r="M3" s="3"/>
      <c r="N3" s="3"/>
      <c r="O3" s="3"/>
      <c r="P3" s="3"/>
      <c r="Q3" s="3"/>
      <c r="R3" s="3"/>
      <c r="S3" s="3"/>
      <c r="T3" s="3"/>
    </row>
    <row r="4" customFormat="1" spans="11:11">
      <c r="K4" s="1"/>
    </row>
    <row r="5" customFormat="1" spans="1:24">
      <c r="A5" s="3">
        <f t="shared" ref="A5:A12" si="0">A6*105%</f>
        <v>5530.83967926992</v>
      </c>
      <c r="B5" s="4">
        <f>(A5-A13)/A13</f>
        <v>0.477455443789063</v>
      </c>
      <c r="C5" s="5">
        <f t="shared" ref="C5:C12" si="1">C6*0.9</f>
        <v>172.186884</v>
      </c>
      <c r="D5" s="5"/>
      <c r="E5" s="5"/>
      <c r="F5" s="5"/>
      <c r="G5" s="5"/>
      <c r="H5" s="5"/>
      <c r="I5" s="5"/>
      <c r="J5" s="5"/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1" spans="1:24">
      <c r="A6" s="3">
        <f t="shared" si="0"/>
        <v>5267.46636120945</v>
      </c>
      <c r="B6" s="4">
        <f>(A6-A13)/A13</f>
        <v>0.40710042265625</v>
      </c>
      <c r="C6" s="5">
        <f t="shared" si="1"/>
        <v>191.31876</v>
      </c>
      <c r="D6" s="3"/>
      <c r="E6" s="3"/>
      <c r="F6" s="3"/>
      <c r="G6" s="3"/>
      <c r="H6" s="3"/>
      <c r="I6" s="3"/>
      <c r="J6" s="3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1" spans="1:11">
      <c r="A7" s="3">
        <f t="shared" si="0"/>
        <v>5016.63462972328</v>
      </c>
      <c r="B7" s="4">
        <f>(A7-A13)/A13</f>
        <v>0.340095640625</v>
      </c>
      <c r="C7" s="5">
        <f t="shared" si="1"/>
        <v>212.5764</v>
      </c>
      <c r="K7" s="13"/>
    </row>
    <row r="8" customFormat="1" spans="1:11">
      <c r="A8" s="3">
        <f t="shared" si="0"/>
        <v>4777.74726640313</v>
      </c>
      <c r="B8" s="4">
        <f>(A8-A13)/A13</f>
        <v>0.2762815625</v>
      </c>
      <c r="C8" s="5">
        <f t="shared" si="1"/>
        <v>236.196</v>
      </c>
      <c r="I8" s="3"/>
      <c r="K8" s="1"/>
    </row>
    <row r="9" customFormat="1" spans="1:11">
      <c r="A9" s="3">
        <f t="shared" si="0"/>
        <v>4550.2354918125</v>
      </c>
      <c r="B9" s="4">
        <f>(A9-A13)/A13</f>
        <v>0.21550625</v>
      </c>
      <c r="C9" s="5">
        <f t="shared" si="1"/>
        <v>262.44</v>
      </c>
      <c r="I9" s="3"/>
      <c r="K9" s="1"/>
    </row>
    <row r="10" customFormat="1" spans="1:11">
      <c r="A10" s="3">
        <f t="shared" si="0"/>
        <v>4333.55761125</v>
      </c>
      <c r="B10" s="4">
        <f>(A10-A13)/A13</f>
        <v>0.157625</v>
      </c>
      <c r="C10" s="5">
        <f t="shared" si="1"/>
        <v>291.6</v>
      </c>
      <c r="I10" s="3"/>
      <c r="K10" s="1"/>
    </row>
    <row r="11" customFormat="1" spans="1:11">
      <c r="A11" s="3">
        <f t="shared" si="0"/>
        <v>4127.197725</v>
      </c>
      <c r="B11" s="4">
        <f>(A11-A13)/A13</f>
        <v>0.1025</v>
      </c>
      <c r="C11" s="5">
        <f t="shared" si="1"/>
        <v>324</v>
      </c>
      <c r="I11" s="3"/>
      <c r="K11" s="1"/>
    </row>
    <row r="12" customFormat="1" spans="1:24">
      <c r="A12" s="3">
        <f t="shared" si="0"/>
        <v>3930.6645</v>
      </c>
      <c r="B12" s="4">
        <f>(A12-A13)/A13</f>
        <v>0.05</v>
      </c>
      <c r="C12" s="5">
        <f t="shared" si="1"/>
        <v>360</v>
      </c>
      <c r="D12" s="5"/>
      <c r="E12" s="5"/>
      <c r="F12" s="5"/>
      <c r="G12" s="5"/>
      <c r="H12" s="5"/>
      <c r="I12" s="5"/>
      <c r="J12" s="5"/>
      <c r="K12" s="1"/>
      <c r="U12" s="5"/>
      <c r="V12" s="5"/>
      <c r="W12" s="5"/>
      <c r="X12" s="5"/>
    </row>
    <row r="13" customFormat="1" spans="1:24">
      <c r="A13" s="6">
        <v>3743.49</v>
      </c>
      <c r="B13">
        <f>(A13-A13)/A13</f>
        <v>0</v>
      </c>
      <c r="C13" s="7">
        <v>400</v>
      </c>
      <c r="D13" s="3"/>
      <c r="E13" s="3"/>
      <c r="F13" s="3"/>
      <c r="G13" s="3"/>
      <c r="H13" s="3"/>
      <c r="I13" s="3"/>
      <c r="J13" s="3"/>
      <c r="K13" s="1"/>
      <c r="U13" s="3"/>
      <c r="V13" s="3"/>
      <c r="W13" s="3"/>
      <c r="X13" s="3"/>
    </row>
    <row r="14" customFormat="1" spans="1:11">
      <c r="A14" s="3">
        <f>A13*0.95</f>
        <v>3556.3155</v>
      </c>
      <c r="B14" s="4">
        <f>(A14-A13)/A13</f>
        <v>-0.05</v>
      </c>
      <c r="C14" s="5">
        <f>C13*1.1</f>
        <v>440</v>
      </c>
      <c r="K14" s="13"/>
    </row>
    <row r="15" customFormat="1" spans="1:11">
      <c r="A15" s="3">
        <f>A13*0.9</f>
        <v>3369.141</v>
      </c>
      <c r="B15" s="4">
        <f>(A15-A13)/A13</f>
        <v>-0.0999999999999999</v>
      </c>
      <c r="C15" s="5">
        <f>C13*1.2</f>
        <v>480</v>
      </c>
      <c r="I15" s="3"/>
      <c r="K15" s="1"/>
    </row>
    <row r="16" customFormat="1" spans="1:11">
      <c r="A16" s="3">
        <f>A13*0.85</f>
        <v>3181.9665</v>
      </c>
      <c r="B16" s="4">
        <f>(A16-A13)/A13</f>
        <v>-0.15</v>
      </c>
      <c r="C16" s="5">
        <f>C13*1.3</f>
        <v>520</v>
      </c>
      <c r="I16" s="3"/>
      <c r="K16" s="1"/>
    </row>
    <row r="17" customFormat="1" spans="1:11">
      <c r="A17" s="3">
        <f>A13*0.8</f>
        <v>2994.792</v>
      </c>
      <c r="B17" s="4">
        <f>(A17-A13)/A13</f>
        <v>-0.2</v>
      </c>
      <c r="C17" s="5">
        <f>C13*1.4</f>
        <v>560</v>
      </c>
      <c r="I17" s="3"/>
      <c r="K17" s="1"/>
    </row>
    <row r="18" customFormat="1" spans="1:11">
      <c r="A18" s="3">
        <f>A13*0.75</f>
        <v>2807.6175</v>
      </c>
      <c r="B18" s="4">
        <f>(A18-A13)/A13</f>
        <v>-0.25</v>
      </c>
      <c r="C18" s="5">
        <f>C13*1.5</f>
        <v>600</v>
      </c>
      <c r="I18" s="3"/>
      <c r="K18" s="1"/>
    </row>
    <row r="19" customFormat="1" spans="1:11">
      <c r="A19" s="3">
        <f>A13*0.7</f>
        <v>2620.443</v>
      </c>
      <c r="B19" s="4">
        <f>(A19-A13)/A13</f>
        <v>-0.3</v>
      </c>
      <c r="C19" s="5">
        <f>C13*1.6</f>
        <v>640</v>
      </c>
      <c r="I19" s="3"/>
      <c r="K19" s="1"/>
    </row>
    <row r="20" spans="1:3">
      <c r="A20" s="3">
        <f>A13*0.65</f>
        <v>2433.2685</v>
      </c>
      <c r="B20" s="4">
        <f>(A20-A13)/A13</f>
        <v>-0.35</v>
      </c>
      <c r="C20" s="5">
        <f>C13*1.7</f>
        <v>680</v>
      </c>
    </row>
    <row r="21" spans="1:3">
      <c r="A21" s="3">
        <f>A13*0.6</f>
        <v>2246.094</v>
      </c>
      <c r="B21" s="4">
        <f>(A21-A13)/A13</f>
        <v>-0.4</v>
      </c>
      <c r="C21" s="5">
        <f>C13*1.8</f>
        <v>720</v>
      </c>
    </row>
    <row r="22" spans="1:3">
      <c r="A22" s="3">
        <f>A13*0.55</f>
        <v>2058.9195</v>
      </c>
      <c r="B22" s="4">
        <f>(A22-A13)/A13</f>
        <v>-0.45</v>
      </c>
      <c r="C22" s="5">
        <f>C13*1.9</f>
        <v>760</v>
      </c>
    </row>
    <row r="23" spans="1:3">
      <c r="A23" s="3">
        <f>A13*0.5</f>
        <v>1871.745</v>
      </c>
      <c r="B23" s="4">
        <f>(A23-A13)/A13</f>
        <v>-0.5</v>
      </c>
      <c r="C23" s="5">
        <f>C13*2</f>
        <v>800</v>
      </c>
    </row>
    <row r="24" spans="1:3">
      <c r="A24" s="3">
        <f>A13*0.45</f>
        <v>1684.5705</v>
      </c>
      <c r="B24" s="4">
        <f>(A24-A13)/A13</f>
        <v>-0.55</v>
      </c>
      <c r="C24" s="5">
        <f>C13*2.1</f>
        <v>840</v>
      </c>
    </row>
    <row r="25" spans="1:3">
      <c r="A25" s="3">
        <f>A13*0.4</f>
        <v>1497.396</v>
      </c>
      <c r="B25" s="4">
        <f>(A25-A13)/A13</f>
        <v>-0.6</v>
      </c>
      <c r="C25" s="5">
        <f>C13*2.2</f>
        <v>880</v>
      </c>
    </row>
    <row r="26" spans="1:3">
      <c r="A26" s="3">
        <f>A13*0.35</f>
        <v>1310.2215</v>
      </c>
      <c r="B26" s="4">
        <f>(A26-A13)/A13</f>
        <v>-0.65</v>
      </c>
      <c r="C26" s="5">
        <f>C13*2.3</f>
        <v>920</v>
      </c>
    </row>
    <row r="30" spans="1:6">
      <c r="A30" s="6">
        <v>3743.49</v>
      </c>
      <c r="B30">
        <f>(A30-A30)/A30</f>
        <v>0</v>
      </c>
      <c r="C30" s="7">
        <v>2500</v>
      </c>
      <c r="D30" s="8"/>
      <c r="E30" s="10">
        <v>0</v>
      </c>
      <c r="F30" s="11">
        <v>0</v>
      </c>
    </row>
    <row r="31" spans="1:6">
      <c r="A31" s="3">
        <f>A30*0.95</f>
        <v>3556.3155</v>
      </c>
      <c r="B31" s="4">
        <f>(A31-A30)/A30</f>
        <v>-0.05</v>
      </c>
      <c r="C31" s="5">
        <f>C30*1.1</f>
        <v>2750</v>
      </c>
      <c r="E31" s="10">
        <f>(A31-A30)/A30*C30</f>
        <v>-125</v>
      </c>
      <c r="F31" s="11">
        <f>E31/SUM(C30:C31)</f>
        <v>-0.0238095238095238</v>
      </c>
    </row>
    <row r="32" spans="1:6">
      <c r="A32" s="3">
        <f>A30*0.9</f>
        <v>3369.141</v>
      </c>
      <c r="B32" s="4">
        <f>(A32-A30)/A30</f>
        <v>-0.0999999999999999</v>
      </c>
      <c r="C32" s="5">
        <f t="shared" ref="C32:C39" si="2">C31*1.1</f>
        <v>3025</v>
      </c>
      <c r="E32" s="10">
        <f>(A32-A30)/A30*C30+(A32-A31)/A31*C31</f>
        <v>-394.736842105263</v>
      </c>
      <c r="F32" s="11">
        <f>E32/SUM(C30:C32)</f>
        <v>-0.0477023374145333</v>
      </c>
    </row>
    <row r="33" spans="1:6">
      <c r="A33" s="3">
        <f>A30*0.85</f>
        <v>3181.9665</v>
      </c>
      <c r="B33" s="4">
        <f>(A33-A30)/A30</f>
        <v>-0.15</v>
      </c>
      <c r="C33" s="5">
        <f t="shared" si="2"/>
        <v>3327.5</v>
      </c>
      <c r="E33" s="10">
        <f>(A33-A30)/A30*C30+(A33-A31)/A31*C31+(A33-A32)/A32*C32</f>
        <v>-832.529239766082</v>
      </c>
      <c r="F33" s="11">
        <f>E33/SUM(C30:C33)</f>
        <v>-0.0717542977604897</v>
      </c>
    </row>
    <row r="34" spans="1:6">
      <c r="A34" s="3">
        <f>A30*0.8</f>
        <v>2994.792</v>
      </c>
      <c r="B34" s="4">
        <f>(A34-A30)/A30</f>
        <v>-0.2</v>
      </c>
      <c r="C34" s="5">
        <f t="shared" si="2"/>
        <v>3660.25</v>
      </c>
      <c r="E34" s="10">
        <f>(A34-A30)/A30*C30+(A34-A31)/A31*C31+(A34-A32)/A32*C32+(A34-A33)/A33*C33</f>
        <v>-1466.05693154455</v>
      </c>
      <c r="F34" s="11">
        <f>E34/SUM(C30:C34)</f>
        <v>-0.0960545728354686</v>
      </c>
    </row>
    <row r="35" spans="1:6">
      <c r="A35" s="3">
        <f>A30*0.75</f>
        <v>2807.6175</v>
      </c>
      <c r="B35" s="4">
        <f>(A35-A30)/A30</f>
        <v>-0.25</v>
      </c>
      <c r="C35" s="5">
        <f t="shared" si="2"/>
        <v>4026.275</v>
      </c>
      <c r="E35" s="10">
        <f>(A35-A30)/A30*C30+(A35-A31)/A31*C31+(A35-A32)/A32*C32+(A35-A33)/A33*C33+(A35-A34)/A34*C34</f>
        <v>-2328.35024832301</v>
      </c>
      <c r="F35" s="11">
        <f>E35/SUM(C30:C35)</f>
        <v>-0.120708550500765</v>
      </c>
    </row>
    <row r="36" spans="1:6">
      <c r="A36" s="3">
        <f>A30*0.7</f>
        <v>2620.443</v>
      </c>
      <c r="B36" s="4">
        <f>(A36-A30)/A30</f>
        <v>-0.3</v>
      </c>
      <c r="C36" s="5">
        <f t="shared" si="2"/>
        <v>4428.9025</v>
      </c>
      <c r="E36" s="10">
        <f>(A36-A30)/A30*C30+(A36-A31)/A31*C31+(A36-A32)/A32*C32+(A36-A33)/A33*C33+(A36-A34)/A34*C34+(A36-A35)/A35*C35</f>
        <v>-3459.06189843481</v>
      </c>
      <c r="F36" s="11">
        <f>E36/SUM(C30:C36)</f>
        <v>-0.145841659159925</v>
      </c>
    </row>
    <row r="37" spans="1:6">
      <c r="A37" s="3">
        <f>A30*0.65</f>
        <v>2433.2685</v>
      </c>
      <c r="B37" s="17">
        <f>(A37-A30)/A30</f>
        <v>-0.35</v>
      </c>
      <c r="C37" s="18">
        <f t="shared" si="2"/>
        <v>4871.79275</v>
      </c>
      <c r="E37" s="10">
        <f>(A37-A30)/A30*C30+(A37-A31)/A31*C31+(A37-A32)/A32*C32+(A37-A33)/A33*C33+(A37-A34)/A34*C34+(A37-A35)/A35*C35+(A37-A36)/A36*C36</f>
        <v>-4906.12372711804</v>
      </c>
      <c r="F37" s="11">
        <f>E37/SUM(C30:C37)</f>
        <v>-0.171604467767328</v>
      </c>
    </row>
    <row r="38" spans="1:6">
      <c r="A38" s="3">
        <f>A30*0.6</f>
        <v>2246.094</v>
      </c>
      <c r="B38" s="17">
        <f>(A38-A30)/A30</f>
        <v>-0.4</v>
      </c>
      <c r="C38" s="18">
        <f t="shared" si="2"/>
        <v>5358.972025</v>
      </c>
      <c r="E38" s="10">
        <f>(A38-A30)/A30*C30+(A38-A31)/A31*C31+(A38-A32)/A32*C32+(A38-A33)/A33*C33+(A38-A34)/A34*C34+(A38-A35)/A35*C35+(A38-A36)/A36*C36+(A38-A37)/A37*C37</f>
        <v>-6727.93884426281</v>
      </c>
      <c r="F38" s="11">
        <f>E38/SUM(C30:C38)</f>
        <v>-0.198179617340291</v>
      </c>
    </row>
    <row r="39" spans="1:6">
      <c r="A39" s="3">
        <f>A30*0.55</f>
        <v>2058.9195</v>
      </c>
      <c r="B39" s="17">
        <f>(A39-A30)/A30</f>
        <v>-0.45</v>
      </c>
      <c r="C39" s="18">
        <f t="shared" si="2"/>
        <v>5894.8692275</v>
      </c>
      <c r="E39" s="10">
        <f>(A39-A30)/A30*C30+(A39-A31)/A31*C31+(A39-A32)/A32*C32+(A39-A33)/A33*C33+(A39-A34)/A34*C34+(A39-A35)/A35*C35+(A39-A36)/A36*C36+(A39-A37)/A37*C37+(A39-A38)/A38*C38</f>
        <v>-8996.33496349091</v>
      </c>
      <c r="F39" s="11">
        <f>E39/SUM(C30:C39)</f>
        <v>-0.225791435911833</v>
      </c>
    </row>
    <row r="41" spans="3:4">
      <c r="C41" s="9">
        <f>SUM(C30:C39)</f>
        <v>39843.5615025</v>
      </c>
      <c r="D41" s="8">
        <f>SUM(D30:D39)</f>
        <v>0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1"/>
  <sheetViews>
    <sheetView topLeftCell="A6" workbookViewId="0">
      <selection activeCell="F12" sqref="F12"/>
    </sheetView>
  </sheetViews>
  <sheetFormatPr defaultColWidth="9" defaultRowHeight="17.6"/>
  <cols>
    <col min="1" max="2" width="15.7767857142857" customWidth="1"/>
    <col min="3" max="3" width="21.1339285714286" customWidth="1"/>
    <col min="4" max="4" width="12.7857142857143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5.9196428571429" style="1" customWidth="1"/>
    <col min="12" max="12" width="13.0892857142857" customWidth="1"/>
    <col min="13" max="21" width="10.7857142857143" customWidth="1"/>
    <col min="22" max="22" width="13" customWidth="1"/>
    <col min="23" max="23" width="10.7857142857143" customWidth="1"/>
    <col min="24" max="24" width="12.6517857142857" customWidth="1"/>
    <col min="25" max="25" width="17.5625" customWidth="1"/>
  </cols>
  <sheetData>
    <row r="1" customFormat="1" spans="1:11">
      <c r="A1" s="2">
        <v>43940</v>
      </c>
      <c r="B1" s="2"/>
      <c r="K1" s="1"/>
    </row>
    <row r="2" customFormat="1" spans="1:22">
      <c r="A2" s="15" t="s">
        <v>8</v>
      </c>
      <c r="K2" s="12"/>
      <c r="L2" s="5"/>
      <c r="M2" s="5"/>
      <c r="N2" s="5"/>
      <c r="O2" s="5"/>
      <c r="P2" s="5"/>
      <c r="Q2" s="5"/>
      <c r="R2" s="5"/>
      <c r="S2" s="5"/>
      <c r="T2" s="5"/>
      <c r="V2" s="14"/>
    </row>
    <row r="3" customFormat="1" spans="1:20">
      <c r="A3" s="15" t="s">
        <v>12</v>
      </c>
      <c r="K3" s="1"/>
      <c r="L3" s="3"/>
      <c r="M3" s="3"/>
      <c r="N3" s="3"/>
      <c r="O3" s="3"/>
      <c r="P3" s="3"/>
      <c r="Q3" s="3"/>
      <c r="R3" s="3"/>
      <c r="S3" s="3"/>
      <c r="T3" s="3"/>
    </row>
    <row r="4" customFormat="1" spans="4:11">
      <c r="D4" s="2">
        <v>43942</v>
      </c>
      <c r="E4" s="2">
        <v>43957</v>
      </c>
      <c r="F4" s="2">
        <v>43963</v>
      </c>
      <c r="G4" s="2">
        <v>43971</v>
      </c>
      <c r="H4" s="2">
        <v>43979</v>
      </c>
      <c r="I4" s="2">
        <v>43986</v>
      </c>
      <c r="J4" s="2">
        <v>43993</v>
      </c>
      <c r="K4" s="2">
        <v>44022</v>
      </c>
    </row>
    <row r="5" customFormat="1" spans="1:24">
      <c r="A5" s="3">
        <f t="shared" ref="A5:A12" si="0">A6*105%</f>
        <v>5723.17482894238</v>
      </c>
      <c r="B5" s="4">
        <f>(A5-A13)/A13</f>
        <v>0.477455443789063</v>
      </c>
      <c r="C5" s="5">
        <f t="shared" ref="C5:C12" si="1">C6*0.9</f>
        <v>172.186884</v>
      </c>
      <c r="D5" s="5"/>
      <c r="E5" s="5"/>
      <c r="F5" s="5"/>
      <c r="G5" s="5"/>
      <c r="H5" s="5"/>
      <c r="I5" s="5"/>
      <c r="J5" s="5"/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1" spans="1:24">
      <c r="A6" s="3">
        <f t="shared" si="0"/>
        <v>5450.64269423084</v>
      </c>
      <c r="B6" s="4">
        <f>(A6-A13)/A13</f>
        <v>0.40710042265625</v>
      </c>
      <c r="C6" s="5">
        <f t="shared" si="1"/>
        <v>191.31876</v>
      </c>
      <c r="D6" s="3"/>
      <c r="E6" s="3"/>
      <c r="F6" s="3"/>
      <c r="G6" s="3"/>
      <c r="H6" s="3"/>
      <c r="I6" s="3"/>
      <c r="J6" s="3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1" spans="1:11">
      <c r="A7" s="3">
        <f t="shared" si="0"/>
        <v>5191.08828021984</v>
      </c>
      <c r="B7" s="4">
        <f>(A7-A13)/A13</f>
        <v>0.340095640625</v>
      </c>
      <c r="C7" s="5">
        <f t="shared" si="1"/>
        <v>212.5764</v>
      </c>
      <c r="K7" s="13"/>
    </row>
    <row r="8" customFormat="1" spans="1:11">
      <c r="A8" s="3">
        <f t="shared" si="0"/>
        <v>4943.89360020938</v>
      </c>
      <c r="B8" s="4">
        <f>(A8-A13)/A13</f>
        <v>0.2762815625</v>
      </c>
      <c r="C8" s="5">
        <f t="shared" si="1"/>
        <v>236.196</v>
      </c>
      <c r="I8" s="3"/>
      <c r="K8" s="1"/>
    </row>
    <row r="9" customFormat="1" spans="1:11">
      <c r="A9" s="3">
        <f t="shared" si="0"/>
        <v>4708.4700954375</v>
      </c>
      <c r="B9" s="4">
        <f>(A9-A13)/A13</f>
        <v>0.21550625</v>
      </c>
      <c r="C9" s="5">
        <f t="shared" si="1"/>
        <v>262.44</v>
      </c>
      <c r="I9" s="3"/>
      <c r="K9" s="1"/>
    </row>
    <row r="10" customFormat="1" spans="1:11">
      <c r="A10" s="3">
        <f t="shared" si="0"/>
        <v>4484.25723375</v>
      </c>
      <c r="B10" s="4">
        <f>(A10-A13)/A13</f>
        <v>0.157625</v>
      </c>
      <c r="C10" s="5">
        <f t="shared" si="1"/>
        <v>291.6</v>
      </c>
      <c r="I10" s="3"/>
      <c r="K10" s="16">
        <v>1000</v>
      </c>
    </row>
    <row r="11" customFormat="1" spans="1:11">
      <c r="A11" s="3">
        <f t="shared" si="0"/>
        <v>4270.721175</v>
      </c>
      <c r="B11" s="4">
        <f>(A11-A13)/A13</f>
        <v>0.1025</v>
      </c>
      <c r="C11" s="5">
        <f t="shared" si="1"/>
        <v>324</v>
      </c>
      <c r="I11" s="3"/>
      <c r="K11" s="1"/>
    </row>
    <row r="12" customFormat="1" spans="1:24">
      <c r="A12" s="3">
        <f t="shared" si="0"/>
        <v>4067.3535</v>
      </c>
      <c r="B12" s="4">
        <f>(A12-A13)/A13</f>
        <v>0.05</v>
      </c>
      <c r="C12" s="5">
        <f t="shared" si="1"/>
        <v>360</v>
      </c>
      <c r="D12" s="5"/>
      <c r="E12" s="5"/>
      <c r="F12" s="5"/>
      <c r="G12" s="5"/>
      <c r="H12" s="5"/>
      <c r="I12" s="5"/>
      <c r="J12" s="5"/>
      <c r="K12" s="1"/>
      <c r="U12" s="5"/>
      <c r="V12" s="5"/>
      <c r="W12" s="5"/>
      <c r="X12" s="5"/>
    </row>
    <row r="13" customFormat="1" spans="1:24">
      <c r="A13" s="6">
        <v>3873.67</v>
      </c>
      <c r="B13">
        <f>(A13-A13)/A13</f>
        <v>0</v>
      </c>
      <c r="C13" s="7">
        <v>400</v>
      </c>
      <c r="D13" s="6">
        <v>3884.55</v>
      </c>
      <c r="E13" s="6">
        <v>3963.32</v>
      </c>
      <c r="F13" s="6">
        <v>3969.42</v>
      </c>
      <c r="G13" s="6">
        <v>3932.39</v>
      </c>
      <c r="H13" s="23">
        <v>3889</v>
      </c>
      <c r="I13" s="23">
        <v>3943</v>
      </c>
      <c r="J13" s="23">
        <v>3897</v>
      </c>
      <c r="K13" s="1"/>
      <c r="U13" s="3"/>
      <c r="V13" s="3"/>
      <c r="W13" s="3"/>
      <c r="X13" s="3"/>
    </row>
    <row r="14" customFormat="1" spans="1:11">
      <c r="A14" s="3">
        <f>A13*0.95</f>
        <v>3679.9865</v>
      </c>
      <c r="B14" s="4">
        <f>(A14-A13)/A13</f>
        <v>-0.05</v>
      </c>
      <c r="C14" s="5">
        <f>C13*1.1</f>
        <v>440</v>
      </c>
      <c r="K14" s="13"/>
    </row>
    <row r="15" customFormat="1" spans="1:11">
      <c r="A15" s="3">
        <f>A13*0.9</f>
        <v>3486.303</v>
      </c>
      <c r="B15" s="4">
        <f>(A15-A13)/A13</f>
        <v>-0.0999999999999999</v>
      </c>
      <c r="C15" s="5">
        <f>C13*1.2</f>
        <v>480</v>
      </c>
      <c r="I15" s="3"/>
      <c r="K15" s="1"/>
    </row>
    <row r="16" customFormat="1" spans="1:11">
      <c r="A16" s="3">
        <f>A13*0.85</f>
        <v>3292.6195</v>
      </c>
      <c r="B16" s="4">
        <f>(A16-A13)/A13</f>
        <v>-0.15</v>
      </c>
      <c r="C16" s="5">
        <f>C13*1.3</f>
        <v>520</v>
      </c>
      <c r="I16" s="3"/>
      <c r="K16" s="1"/>
    </row>
    <row r="17" customFormat="1" spans="1:11">
      <c r="A17" s="3">
        <f>A13*0.8</f>
        <v>3098.936</v>
      </c>
      <c r="B17" s="4">
        <f>(A17-A13)/A13</f>
        <v>-0.2</v>
      </c>
      <c r="C17" s="5">
        <f>C13*1.4</f>
        <v>560</v>
      </c>
      <c r="I17" s="3"/>
      <c r="K17" s="1"/>
    </row>
    <row r="18" customFormat="1" spans="1:11">
      <c r="A18" s="3">
        <f>A13*0.75</f>
        <v>2905.2525</v>
      </c>
      <c r="B18" s="4">
        <f>(A18-A13)/A13</f>
        <v>-0.25</v>
      </c>
      <c r="C18" s="5">
        <f>C13*1.5</f>
        <v>600</v>
      </c>
      <c r="I18" s="3"/>
      <c r="K18" s="1"/>
    </row>
    <row r="19" customFormat="1" spans="1:11">
      <c r="A19" s="3">
        <f>A13*0.7</f>
        <v>2711.569</v>
      </c>
      <c r="B19" s="4">
        <f>(A19-A13)/A13</f>
        <v>-0.3</v>
      </c>
      <c r="C19" s="5">
        <f>C13*1.6</f>
        <v>640</v>
      </c>
      <c r="I19" s="3"/>
      <c r="K19" s="1"/>
    </row>
    <row r="20" spans="1:3">
      <c r="A20" s="3">
        <f>A13*0.65</f>
        <v>2517.8855</v>
      </c>
      <c r="B20" s="4">
        <f>(A20-A13)/A13</f>
        <v>-0.35</v>
      </c>
      <c r="C20" s="5">
        <f>C13*1.7</f>
        <v>680</v>
      </c>
    </row>
    <row r="21" spans="1:3">
      <c r="A21" s="3">
        <f>A13*0.6</f>
        <v>2324.202</v>
      </c>
      <c r="B21" s="4">
        <f>(A21-A13)/A13</f>
        <v>-0.4</v>
      </c>
      <c r="C21" s="5">
        <f>C13*1.8</f>
        <v>720</v>
      </c>
    </row>
    <row r="22" spans="1:3">
      <c r="A22" s="3">
        <f>A13*0.55</f>
        <v>2130.5185</v>
      </c>
      <c r="B22" s="4">
        <f>(A22-A13)/A13</f>
        <v>-0.45</v>
      </c>
      <c r="C22" s="5">
        <f>C13*1.9</f>
        <v>760</v>
      </c>
    </row>
    <row r="23" spans="1:3">
      <c r="A23" s="3">
        <f>A13*0.5</f>
        <v>1936.835</v>
      </c>
      <c r="B23" s="4">
        <f>(A23-A13)/A13</f>
        <v>-0.5</v>
      </c>
      <c r="C23" s="5">
        <f>C13*2</f>
        <v>800</v>
      </c>
    </row>
    <row r="24" spans="1:3">
      <c r="A24" s="3">
        <f>A13*0.45</f>
        <v>1743.1515</v>
      </c>
      <c r="B24" s="4">
        <f>(A24-A13)/A13</f>
        <v>-0.55</v>
      </c>
      <c r="C24" s="5">
        <f>C13*2.1</f>
        <v>840</v>
      </c>
    </row>
    <row r="25" spans="1:3">
      <c r="A25" s="3">
        <f>A13*0.4</f>
        <v>1549.468</v>
      </c>
      <c r="B25" s="4">
        <f>(A25-A13)/A13</f>
        <v>-0.6</v>
      </c>
      <c r="C25" s="5">
        <f>C13*2.2</f>
        <v>880</v>
      </c>
    </row>
    <row r="26" spans="1:3">
      <c r="A26" s="3">
        <f>A13*0.35</f>
        <v>1355.7845</v>
      </c>
      <c r="B26" s="4">
        <f>(A26-A13)/A13</f>
        <v>-0.65</v>
      </c>
      <c r="C26" s="5">
        <f>C13*2.3</f>
        <v>920</v>
      </c>
    </row>
    <row r="30" spans="1:6">
      <c r="A30" s="6">
        <v>3873.67</v>
      </c>
      <c r="B30">
        <f>(A30-A30)/A30</f>
        <v>0</v>
      </c>
      <c r="C30" s="7">
        <v>1700</v>
      </c>
      <c r="D30" s="8">
        <f>C30</f>
        <v>1700</v>
      </c>
      <c r="E30" s="10">
        <v>0</v>
      </c>
      <c r="F30" s="11">
        <v>0</v>
      </c>
    </row>
    <row r="31" spans="1:6">
      <c r="A31" s="3">
        <f>A30*0.95</f>
        <v>3679.9865</v>
      </c>
      <c r="B31" s="4">
        <f>(A31-A30)/A30</f>
        <v>-0.05</v>
      </c>
      <c r="C31" s="5">
        <f>C30*1.1</f>
        <v>1870</v>
      </c>
      <c r="E31" s="10">
        <f>(A31-A30)/A30*C30</f>
        <v>-85</v>
      </c>
      <c r="F31" s="11">
        <f>E31/SUM(C30:C31)</f>
        <v>-0.0238095238095238</v>
      </c>
    </row>
    <row r="32" spans="1:6">
      <c r="A32" s="3">
        <f>A30*0.9</f>
        <v>3486.303</v>
      </c>
      <c r="B32" s="4">
        <f>(A32-A30)/A30</f>
        <v>-0.0999999999999999</v>
      </c>
      <c r="C32" s="5">
        <f t="shared" ref="C32:C39" si="2">C31*1.1</f>
        <v>2057</v>
      </c>
      <c r="E32" s="10">
        <f>(A32-A30)/A30*C30+(A32-A31)/A31*C31</f>
        <v>-268.421052631579</v>
      </c>
      <c r="F32" s="11">
        <f>E32/SUM(C30:C32)</f>
        <v>-0.0477023374145333</v>
      </c>
    </row>
    <row r="33" spans="1:6">
      <c r="A33" s="3">
        <f>A30*0.85</f>
        <v>3292.6195</v>
      </c>
      <c r="B33" s="4">
        <f>(A33-A30)/A30</f>
        <v>-0.15</v>
      </c>
      <c r="C33" s="5">
        <f t="shared" si="2"/>
        <v>2262.7</v>
      </c>
      <c r="E33" s="10">
        <f>(A33-A30)/A30*C30+(A33-A31)/A31*C31+(A33-A32)/A32*C32</f>
        <v>-566.119883040936</v>
      </c>
      <c r="F33" s="11">
        <f>E33/SUM(C30:C33)</f>
        <v>-0.0717542977604897</v>
      </c>
    </row>
    <row r="34" spans="1:6">
      <c r="A34" s="3">
        <f>A30*0.8</f>
        <v>3098.936</v>
      </c>
      <c r="B34" s="4">
        <f>(A34-A30)/A30</f>
        <v>-0.2</v>
      </c>
      <c r="C34" s="5">
        <f t="shared" si="2"/>
        <v>2488.97</v>
      </c>
      <c r="E34" s="10">
        <f>(A34-A30)/A30*C30+(A34-A31)/A31*C31+(A34-A32)/A32*C32+(A34-A33)/A33*C33</f>
        <v>-996.918713450292</v>
      </c>
      <c r="F34" s="11">
        <f>E34/SUM(C30:C34)</f>
        <v>-0.0960545728354685</v>
      </c>
    </row>
    <row r="35" spans="1:6">
      <c r="A35" s="3">
        <f>A30*0.75</f>
        <v>2905.2525</v>
      </c>
      <c r="B35" s="4">
        <f>(A35-A30)/A30</f>
        <v>-0.25</v>
      </c>
      <c r="C35" s="5">
        <f t="shared" si="2"/>
        <v>2737.867</v>
      </c>
      <c r="E35" s="10">
        <f>(A35-A30)/A30*C30+(A35-A31)/A31*C31+(A35-A32)/A32*C32+(A35-A33)/A33*C33+(A35-A34)/A34*C34</f>
        <v>-1583.27816885965</v>
      </c>
      <c r="F35" s="11">
        <f>E35/SUM(C30:C35)</f>
        <v>-0.120708550500765</v>
      </c>
    </row>
    <row r="36" spans="1:6">
      <c r="A36" s="3">
        <f>A30*0.7</f>
        <v>2711.569</v>
      </c>
      <c r="B36" s="4">
        <f>(A36-A30)/A30</f>
        <v>-0.3</v>
      </c>
      <c r="C36" s="5">
        <f t="shared" si="2"/>
        <v>3011.6537</v>
      </c>
      <c r="E36" s="10">
        <f>(A36-A30)/A30*C30+(A36-A31)/A31*C31+(A36-A32)/A32*C32+(A36-A33)/A33*C33+(A36-A34)/A34*C34+(A36-A35)/A35*C35</f>
        <v>-2352.16209093567</v>
      </c>
      <c r="F36" s="11">
        <f>E36/SUM(C30:C36)</f>
        <v>-0.145841659159925</v>
      </c>
    </row>
    <row r="37" spans="1:6">
      <c r="A37" s="3">
        <f>A30*0.65</f>
        <v>2517.8855</v>
      </c>
      <c r="B37" s="17">
        <f>(A37-A30)/A30</f>
        <v>-0.35</v>
      </c>
      <c r="C37" s="18">
        <f t="shared" si="2"/>
        <v>3312.81907</v>
      </c>
      <c r="E37" s="10">
        <f>(A37-A30)/A30*C30+(A37-A31)/A31*C31+(A37-A32)/A32*C32+(A37-A33)/A33*C33+(A37-A34)/A34*C34+(A37-A35)/A35*C35+(A37-A36)/A36*C36</f>
        <v>-3336.16413444027</v>
      </c>
      <c r="F37" s="11">
        <f>E37/SUM(C30:C37)</f>
        <v>-0.171604467767328</v>
      </c>
    </row>
    <row r="38" spans="1:6">
      <c r="A38" s="3">
        <f>A30*0.6</f>
        <v>2324.202</v>
      </c>
      <c r="B38" s="17">
        <f>(A38-A30)/A30</f>
        <v>-0.4</v>
      </c>
      <c r="C38" s="18">
        <f t="shared" si="2"/>
        <v>3644.100977</v>
      </c>
      <c r="E38" s="10">
        <f>(A38-A30)/A30*C30+(A38-A31)/A31*C31+(A38-A32)/A32*C32+(A38-A33)/A33*C33+(A38-A34)/A34*C34+(A38-A35)/A35*C35+(A38-A36)/A36*C36+(A38-A37)/A37*C37</f>
        <v>-4574.99841409871</v>
      </c>
      <c r="F38" s="11">
        <f>E38/SUM(C30:C38)</f>
        <v>-0.198179617340291</v>
      </c>
    </row>
    <row r="39" spans="1:6">
      <c r="A39" s="3">
        <f>A30*0.55</f>
        <v>2130.5185</v>
      </c>
      <c r="B39" s="17">
        <f>(A39-A30)/A30</f>
        <v>-0.45</v>
      </c>
      <c r="C39" s="18">
        <f t="shared" si="2"/>
        <v>4008.5110747</v>
      </c>
      <c r="E39" s="10">
        <f>(A39-A30)/A30*C30+(A39-A31)/A31*C31+(A39-A32)/A32*C32+(A39-A33)/A33*C33+(A39-A34)/A34*C34+(A39-A35)/A35*C35+(A39-A36)/A36*C36+(A39-A37)/A37*C37+(A39-A38)/A38*C38</f>
        <v>-6117.50777517381</v>
      </c>
      <c r="F39" s="11">
        <f>E39/SUM(C30:C39)</f>
        <v>-0.225791435911833</v>
      </c>
    </row>
    <row r="41" spans="3:4">
      <c r="C41" s="9">
        <f>SUM(C30:C39)</f>
        <v>27093.6218217</v>
      </c>
      <c r="D41" s="8">
        <f>SUM(D30:D39)</f>
        <v>1700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1"/>
  <sheetViews>
    <sheetView workbookViewId="0">
      <selection activeCell="J14" sqref="J14"/>
    </sheetView>
  </sheetViews>
  <sheetFormatPr defaultColWidth="9" defaultRowHeight="17.6"/>
  <cols>
    <col min="1" max="2" width="15.7767857142857" customWidth="1"/>
    <col min="3" max="3" width="21.1339285714286" customWidth="1"/>
    <col min="4" max="4" width="12.7857142857143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5.9196428571429" style="1" customWidth="1"/>
    <col min="12" max="12" width="13.0892857142857" customWidth="1"/>
    <col min="13" max="21" width="10.7857142857143" customWidth="1"/>
    <col min="22" max="22" width="13" customWidth="1"/>
    <col min="23" max="23" width="10.7857142857143" customWidth="1"/>
    <col min="24" max="24" width="12.6517857142857" customWidth="1"/>
    <col min="25" max="25" width="17.5625" customWidth="1"/>
  </cols>
  <sheetData>
    <row r="1" customFormat="1" spans="1:11">
      <c r="A1" s="2">
        <v>43940</v>
      </c>
      <c r="B1" s="2"/>
      <c r="K1" s="1"/>
    </row>
    <row r="2" customFormat="1" spans="1:22">
      <c r="A2" s="15" t="s">
        <v>6</v>
      </c>
      <c r="K2" s="12"/>
      <c r="L2" s="5"/>
      <c r="M2" s="5"/>
      <c r="N2" s="5"/>
      <c r="O2" s="5"/>
      <c r="P2" s="5"/>
      <c r="Q2" s="5"/>
      <c r="R2" s="5"/>
      <c r="S2" s="5"/>
      <c r="T2" s="5"/>
      <c r="V2" s="14"/>
    </row>
    <row r="3" customFormat="1" spans="1:20">
      <c r="A3" s="15" t="s">
        <v>10</v>
      </c>
      <c r="K3" s="1"/>
      <c r="L3" s="3"/>
      <c r="M3" s="3"/>
      <c r="N3" s="3"/>
      <c r="O3" s="3"/>
      <c r="P3" s="3"/>
      <c r="Q3" s="3"/>
      <c r="R3" s="3"/>
      <c r="S3" s="3"/>
      <c r="T3" s="3"/>
    </row>
    <row r="4" customFormat="1" spans="4:11">
      <c r="D4" s="2">
        <v>43942</v>
      </c>
      <c r="E4" s="2">
        <v>43958</v>
      </c>
      <c r="F4" s="2">
        <v>43963</v>
      </c>
      <c r="G4" s="2">
        <v>43971</v>
      </c>
      <c r="H4" s="2">
        <v>43978</v>
      </c>
      <c r="I4" s="2">
        <v>43979</v>
      </c>
      <c r="J4" s="2">
        <v>43986</v>
      </c>
      <c r="K4" s="1"/>
    </row>
    <row r="5" customFormat="1" spans="1:24">
      <c r="A5" s="3">
        <f t="shared" ref="A5:A12" si="0">A6*105%</f>
        <v>7778.03463471865</v>
      </c>
      <c r="B5" s="4">
        <f>(A5-A13)/A13</f>
        <v>0.477455443789063</v>
      </c>
      <c r="C5" s="5">
        <f t="shared" ref="C5:C12" si="1">C6*0.9</f>
        <v>172.186884</v>
      </c>
      <c r="D5" s="5"/>
      <c r="E5" s="5"/>
      <c r="F5" s="5"/>
      <c r="G5" s="5"/>
      <c r="H5" s="5"/>
      <c r="I5" s="5"/>
      <c r="J5" s="5"/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1" spans="1:24">
      <c r="A6" s="3">
        <f t="shared" si="0"/>
        <v>7407.65203306538</v>
      </c>
      <c r="B6" s="4">
        <f>(A6-A13)/A13</f>
        <v>0.40710042265625</v>
      </c>
      <c r="C6" s="5">
        <f t="shared" si="1"/>
        <v>191.31876</v>
      </c>
      <c r="D6" s="3"/>
      <c r="E6" s="3"/>
      <c r="F6" s="3"/>
      <c r="G6" s="3"/>
      <c r="H6" s="3"/>
      <c r="I6" s="3"/>
      <c r="J6" s="3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1" spans="1:11">
      <c r="A7" s="3">
        <f t="shared" si="0"/>
        <v>7054.9066981575</v>
      </c>
      <c r="B7" s="4">
        <f>(A7-A13)/A13</f>
        <v>0.340095640625</v>
      </c>
      <c r="C7" s="5">
        <f t="shared" si="1"/>
        <v>212.5764</v>
      </c>
      <c r="K7" s="13"/>
    </row>
    <row r="8" customFormat="1" spans="1:11">
      <c r="A8" s="3">
        <f t="shared" si="0"/>
        <v>6718.95876015</v>
      </c>
      <c r="B8" s="4">
        <f>(A8-A13)/A13</f>
        <v>0.2762815625</v>
      </c>
      <c r="C8" s="5">
        <f t="shared" si="1"/>
        <v>236.196</v>
      </c>
      <c r="I8" s="3"/>
      <c r="K8" s="1"/>
    </row>
    <row r="9" customFormat="1" spans="1:11">
      <c r="A9" s="3">
        <f t="shared" si="0"/>
        <v>6399.008343</v>
      </c>
      <c r="B9" s="4">
        <f>(A9-A13)/A13</f>
        <v>0.21550625</v>
      </c>
      <c r="C9" s="5">
        <f t="shared" si="1"/>
        <v>262.44</v>
      </c>
      <c r="I9" s="3"/>
      <c r="K9" s="1"/>
    </row>
    <row r="10" customFormat="1" spans="1:11">
      <c r="A10" s="3">
        <f t="shared" si="0"/>
        <v>6094.29366</v>
      </c>
      <c r="B10" s="4">
        <f>(A10-A13)/A13</f>
        <v>0.157625</v>
      </c>
      <c r="C10" s="5">
        <f t="shared" si="1"/>
        <v>291.6</v>
      </c>
      <c r="I10" s="3"/>
      <c r="K10" s="1"/>
    </row>
    <row r="11" customFormat="1" spans="1:11">
      <c r="A11" s="3">
        <f t="shared" si="0"/>
        <v>5804.0892</v>
      </c>
      <c r="B11" s="4">
        <f>(A11-A13)/A13</f>
        <v>0.1025</v>
      </c>
      <c r="C11" s="5">
        <f t="shared" si="1"/>
        <v>324</v>
      </c>
      <c r="I11" s="3"/>
      <c r="K11" s="1"/>
    </row>
    <row r="12" customFormat="1" spans="1:24">
      <c r="A12" s="3">
        <f t="shared" si="0"/>
        <v>5527.704</v>
      </c>
      <c r="B12" s="4">
        <f>(A12-A13)/A13</f>
        <v>0.05</v>
      </c>
      <c r="C12" s="5">
        <f t="shared" si="1"/>
        <v>360</v>
      </c>
      <c r="D12" s="5"/>
      <c r="E12" s="5"/>
      <c r="F12" s="5"/>
      <c r="G12" s="5"/>
      <c r="H12" s="5"/>
      <c r="I12" s="5"/>
      <c r="J12" s="5"/>
      <c r="K12" s="1"/>
      <c r="U12" s="5"/>
      <c r="V12" s="5"/>
      <c r="W12" s="5"/>
      <c r="X12" s="5"/>
    </row>
    <row r="13" customFormat="1" spans="1:24">
      <c r="A13" s="6">
        <v>5264.48</v>
      </c>
      <c r="B13">
        <f>(A13-A13)/A13</f>
        <v>0</v>
      </c>
      <c r="C13" s="7">
        <v>400</v>
      </c>
      <c r="D13" s="6">
        <v>5196.03</v>
      </c>
      <c r="E13" s="6">
        <v>5323.32</v>
      </c>
      <c r="F13" s="6">
        <v>5360.44</v>
      </c>
      <c r="G13" s="6">
        <v>5337.7</v>
      </c>
      <c r="H13" s="6">
        <v>5218.85</v>
      </c>
      <c r="I13" s="23">
        <v>5241</v>
      </c>
      <c r="J13" s="23">
        <v>5406</v>
      </c>
      <c r="K13" s="1"/>
      <c r="U13" s="3"/>
      <c r="V13" s="3"/>
      <c r="W13" s="3"/>
      <c r="X13" s="3"/>
    </row>
    <row r="14" customFormat="1" spans="1:11">
      <c r="A14" s="3">
        <f>A13*0.95</f>
        <v>5001.256</v>
      </c>
      <c r="B14" s="4">
        <f>(A14-A13)/A13</f>
        <v>-0.05</v>
      </c>
      <c r="C14" s="5">
        <f>C13*1.1</f>
        <v>440</v>
      </c>
      <c r="K14" s="13"/>
    </row>
    <row r="15" customFormat="1" spans="1:11">
      <c r="A15" s="3">
        <f>A13*0.9</f>
        <v>4738.032</v>
      </c>
      <c r="B15" s="4">
        <f>(A15-A13)/A13</f>
        <v>-0.0999999999999999</v>
      </c>
      <c r="C15" s="5">
        <f>C13*1.2</f>
        <v>480</v>
      </c>
      <c r="I15" s="3"/>
      <c r="K15" s="1"/>
    </row>
    <row r="16" customFormat="1" spans="1:11">
      <c r="A16" s="3">
        <f>A13*0.85</f>
        <v>4474.808</v>
      </c>
      <c r="B16" s="4">
        <f>(A16-A13)/A13</f>
        <v>-0.15</v>
      </c>
      <c r="C16" s="5">
        <f>C13*1.3</f>
        <v>520</v>
      </c>
      <c r="I16" s="3"/>
      <c r="K16" s="1"/>
    </row>
    <row r="17" customFormat="1" spans="1:11">
      <c r="A17" s="3">
        <f>A13*0.8</f>
        <v>4211.584</v>
      </c>
      <c r="B17" s="4">
        <f>(A17-A13)/A13</f>
        <v>-0.2</v>
      </c>
      <c r="C17" s="5">
        <f>C13*1.4</f>
        <v>560</v>
      </c>
      <c r="I17" s="3"/>
      <c r="K17" s="1"/>
    </row>
    <row r="18" customFormat="1" spans="1:11">
      <c r="A18" s="3">
        <f>A13*0.75</f>
        <v>3948.36</v>
      </c>
      <c r="B18" s="4">
        <f>(A18-A13)/A13</f>
        <v>-0.25</v>
      </c>
      <c r="C18" s="5">
        <f>C13*1.5</f>
        <v>600</v>
      </c>
      <c r="I18" s="3"/>
      <c r="K18" s="1"/>
    </row>
    <row r="19" customFormat="1" spans="1:11">
      <c r="A19" s="3">
        <f>A13*0.7</f>
        <v>3685.136</v>
      </c>
      <c r="B19" s="4">
        <f>(A19-A13)/A13</f>
        <v>-0.3</v>
      </c>
      <c r="C19" s="5">
        <f>C13*1.6</f>
        <v>640</v>
      </c>
      <c r="I19" s="3"/>
      <c r="K19" s="1"/>
    </row>
    <row r="20" spans="1:3">
      <c r="A20" s="3">
        <f>A13*0.65</f>
        <v>3421.912</v>
      </c>
      <c r="B20" s="4">
        <f>(A20-A13)/A13</f>
        <v>-0.35</v>
      </c>
      <c r="C20" s="5">
        <f>C13*1.7</f>
        <v>680</v>
      </c>
    </row>
    <row r="21" spans="1:3">
      <c r="A21" s="3">
        <f>A13*0.6</f>
        <v>3158.688</v>
      </c>
      <c r="B21" s="4">
        <f>(A21-A13)/A13</f>
        <v>-0.4</v>
      </c>
      <c r="C21" s="5">
        <f>C13*1.8</f>
        <v>720</v>
      </c>
    </row>
    <row r="22" spans="1:3">
      <c r="A22" s="3">
        <f>A13*0.55</f>
        <v>2895.464</v>
      </c>
      <c r="B22" s="4">
        <f>(A22-A13)/A13</f>
        <v>-0.45</v>
      </c>
      <c r="C22" s="5">
        <f>C13*1.9</f>
        <v>760</v>
      </c>
    </row>
    <row r="23" spans="1:3">
      <c r="A23" s="3">
        <f>A13*0.5</f>
        <v>2632.24</v>
      </c>
      <c r="B23" s="4">
        <f>(A23-A13)/A13</f>
        <v>-0.5</v>
      </c>
      <c r="C23" s="5">
        <f>C13*2</f>
        <v>800</v>
      </c>
    </row>
    <row r="24" spans="1:3">
      <c r="A24" s="3">
        <f>A13*0.45</f>
        <v>2369.016</v>
      </c>
      <c r="B24" s="4">
        <f>(A24-A13)/A13</f>
        <v>-0.55</v>
      </c>
      <c r="C24" s="5">
        <f>C13*2.1</f>
        <v>840</v>
      </c>
    </row>
    <row r="25" spans="1:3">
      <c r="A25" s="3">
        <f>A13*0.4</f>
        <v>2105.792</v>
      </c>
      <c r="B25" s="4">
        <f>(A25-A13)/A13</f>
        <v>-0.6</v>
      </c>
      <c r="C25" s="5">
        <f>C13*2.2</f>
        <v>880</v>
      </c>
    </row>
    <row r="26" spans="1:3">
      <c r="A26" s="3">
        <f>A13*0.35</f>
        <v>1842.568</v>
      </c>
      <c r="B26" s="4">
        <f>(A26-A13)/A13</f>
        <v>-0.65</v>
      </c>
      <c r="C26" s="5">
        <f>C13*2.3</f>
        <v>920</v>
      </c>
    </row>
    <row r="30" spans="1:6">
      <c r="A30" s="6">
        <v>5264.48</v>
      </c>
      <c r="B30">
        <f>(A30-A30)/A30</f>
        <v>0</v>
      </c>
      <c r="C30" s="7">
        <v>2700</v>
      </c>
      <c r="D30" s="8">
        <f>C30</f>
        <v>2700</v>
      </c>
      <c r="E30" s="10">
        <v>0</v>
      </c>
      <c r="F30" s="11">
        <v>0</v>
      </c>
    </row>
    <row r="31" spans="1:6">
      <c r="A31" s="3">
        <f>A30*0.95</f>
        <v>5001.256</v>
      </c>
      <c r="B31" s="4">
        <f>(A31-A30)/A30</f>
        <v>-0.05</v>
      </c>
      <c r="C31" s="5">
        <f>C30*1.1</f>
        <v>2970</v>
      </c>
      <c r="E31" s="10">
        <f>(A31-A30)/A30*C30</f>
        <v>-135</v>
      </c>
      <c r="F31" s="11">
        <f>E31/SUM(C30:C31)</f>
        <v>-0.0238095238095237</v>
      </c>
    </row>
    <row r="32" spans="1:6">
      <c r="A32" s="3">
        <f>A30*0.9</f>
        <v>4738.032</v>
      </c>
      <c r="B32" s="4">
        <f>(A32-A30)/A30</f>
        <v>-0.0999999999999999</v>
      </c>
      <c r="C32" s="5">
        <f t="shared" ref="C32:C39" si="2">C31*1.1</f>
        <v>3267</v>
      </c>
      <c r="E32" s="10">
        <f>(A32-A30)/A30*C30+(A32-A31)/A31*C31</f>
        <v>-426.315789473684</v>
      </c>
      <c r="F32" s="11">
        <f>E32/SUM(C30:C32)</f>
        <v>-0.0477023374145333</v>
      </c>
    </row>
    <row r="33" spans="1:6">
      <c r="A33" s="3">
        <f>A30*0.85</f>
        <v>4474.808</v>
      </c>
      <c r="B33" s="4">
        <f>(A33-A30)/A30</f>
        <v>-0.15</v>
      </c>
      <c r="C33" s="5">
        <f t="shared" si="2"/>
        <v>3593.7</v>
      </c>
      <c r="E33" s="10">
        <f>(A33-A30)/A30*C30+(A33-A31)/A31*C31+(A33-A32)/A32*C32</f>
        <v>-899.131578947369</v>
      </c>
      <c r="F33" s="11">
        <f>E33/SUM(C30:C33)</f>
        <v>-0.0717542977604897</v>
      </c>
    </row>
    <row r="34" spans="1:6">
      <c r="A34" s="3">
        <f>A30*0.8</f>
        <v>4211.584</v>
      </c>
      <c r="B34" s="4">
        <f>(A34-A30)/A30</f>
        <v>-0.2</v>
      </c>
      <c r="C34" s="5">
        <f t="shared" si="2"/>
        <v>3953.07</v>
      </c>
      <c r="E34" s="10">
        <f>(A34-A30)/A30*C30+(A34-A31)/A31*C31+(A34-A32)/A32*C32+(A34-A33)/A33*C33</f>
        <v>-1583.34148606811</v>
      </c>
      <c r="F34" s="11">
        <f>E34/SUM(C30:C34)</f>
        <v>-0.0960545728354686</v>
      </c>
    </row>
    <row r="35" spans="1:6">
      <c r="A35" s="3">
        <f>A30*0.75</f>
        <v>3948.36</v>
      </c>
      <c r="B35" s="4">
        <f>(A35-A30)/A30</f>
        <v>-0.25</v>
      </c>
      <c r="C35" s="5">
        <f t="shared" si="2"/>
        <v>4348.377</v>
      </c>
      <c r="E35" s="10">
        <f>(A35-A30)/A30*C30+(A35-A31)/A31*C31+(A35-A32)/A32*C32+(A35-A33)/A33*C33+(A35-A34)/A34*C34</f>
        <v>-2514.61826818885</v>
      </c>
      <c r="F35" s="11">
        <f>E35/SUM(C30:C35)</f>
        <v>-0.120708550500765</v>
      </c>
    </row>
    <row r="36" spans="1:6">
      <c r="A36" s="3">
        <f>A30*0.7</f>
        <v>3685.136</v>
      </c>
      <c r="B36" s="4">
        <f>(A36-A30)/A30</f>
        <v>-0.3</v>
      </c>
      <c r="C36" s="5">
        <f t="shared" si="2"/>
        <v>4783.2147</v>
      </c>
      <c r="E36" s="10">
        <f>(A36-A30)/A30*C30+(A36-A31)/A31*C31+(A36-A32)/A32*C32+(A36-A33)/A33*C33+(A36-A34)/A34*C34+(A36-A35)/A35*C35</f>
        <v>-3735.7868503096</v>
      </c>
      <c r="F36" s="11">
        <f>E36/SUM(C30:C36)</f>
        <v>-0.145841659159925</v>
      </c>
    </row>
    <row r="37" spans="1:6">
      <c r="A37" s="3">
        <f>A30*0.65</f>
        <v>3421.912</v>
      </c>
      <c r="B37" s="4">
        <f>(A37-A30)/A30</f>
        <v>-0.35</v>
      </c>
      <c r="C37" s="5">
        <f t="shared" si="2"/>
        <v>5261.53617</v>
      </c>
      <c r="E37" s="10">
        <f>(A37-A30)/A30*C30+(A37-A31)/A31*C31+(A37-A32)/A32*C32+(A37-A33)/A33*C33+(A37-A34)/A34*C34+(A37-A35)/A35*C35+(A37-A36)/A36*C36</f>
        <v>-5298.61362528749</v>
      </c>
      <c r="F37" s="11">
        <f>E37/SUM(C30:C37)</f>
        <v>-0.171604467767328</v>
      </c>
    </row>
    <row r="38" spans="1:6">
      <c r="A38" s="3">
        <f>A30*0.6</f>
        <v>3158.688</v>
      </c>
      <c r="B38" s="4">
        <f>(A38-A30)/A30</f>
        <v>-0.4</v>
      </c>
      <c r="C38" s="5">
        <f t="shared" si="2"/>
        <v>5787.689787</v>
      </c>
      <c r="E38" s="10">
        <f>(A38-A30)/A30*C30+(A38-A31)/A31*C31+(A38-A32)/A32*C32+(A38-A33)/A33*C33+(A38-A34)/A34*C34+(A38-A35)/A35*C35+(A38-A36)/A36*C36+(A38-A37)/A37*C37</f>
        <v>-7266.17395180383</v>
      </c>
      <c r="F38" s="11">
        <f>E38/SUM(C30:C38)</f>
        <v>-0.198179617340291</v>
      </c>
    </row>
    <row r="39" spans="1:6">
      <c r="A39" s="3">
        <f>A30*0.55</f>
        <v>2895.464</v>
      </c>
      <c r="B39" s="4">
        <f>(A39-A30)/A30</f>
        <v>-0.45</v>
      </c>
      <c r="C39" s="5">
        <f t="shared" si="2"/>
        <v>6366.4587657</v>
      </c>
      <c r="E39" s="10">
        <f>(A39-A30)/A30*C30+(A39-A31)/A31*C31+(A39-A32)/A32*C32+(A39-A33)/A33*C33+(A39-A34)/A34*C34+(A39-A35)/A35*C35+(A39-A36)/A36*C36+(A39-A37)/A37*C37+(A39-A38)/A38*C38</f>
        <v>-9716.04176057018</v>
      </c>
      <c r="F39" s="11">
        <f>E39/SUM(C30:C39)</f>
        <v>-0.225791435911833</v>
      </c>
    </row>
    <row r="41" spans="3:4">
      <c r="C41" s="9">
        <f>SUM(C30:C39)</f>
        <v>43031.0464227</v>
      </c>
      <c r="D41" s="8">
        <f>SUM(D30:D39)</f>
        <v>2700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1"/>
  <sheetViews>
    <sheetView topLeftCell="A9" workbookViewId="0">
      <selection activeCell="H30" sqref="H30"/>
    </sheetView>
  </sheetViews>
  <sheetFormatPr defaultColWidth="9" defaultRowHeight="17.6"/>
  <cols>
    <col min="1" max="2" width="15.7767857142857" customWidth="1"/>
    <col min="3" max="3" width="21.1339285714286" customWidth="1"/>
    <col min="4" max="4" width="15.1785714285714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5.9196428571429" style="1" customWidth="1"/>
    <col min="12" max="12" width="13.0892857142857" customWidth="1"/>
    <col min="13" max="21" width="10.7857142857143" customWidth="1"/>
    <col min="22" max="22" width="13" customWidth="1"/>
    <col min="23" max="23" width="10.7857142857143" customWidth="1"/>
    <col min="24" max="24" width="12.6517857142857" customWidth="1"/>
    <col min="25" max="25" width="17.5625" customWidth="1"/>
  </cols>
  <sheetData>
    <row r="1" customFormat="1" spans="2:11">
      <c r="B1" s="2"/>
      <c r="D1" s="2">
        <v>43940</v>
      </c>
      <c r="K1" s="1"/>
    </row>
    <row r="2" customFormat="1" spans="4:22">
      <c r="D2" s="15" t="s">
        <v>23</v>
      </c>
      <c r="K2" s="12"/>
      <c r="L2" s="5"/>
      <c r="M2" s="5"/>
      <c r="N2" s="5"/>
      <c r="O2" s="5"/>
      <c r="P2" s="5"/>
      <c r="Q2" s="5"/>
      <c r="R2" s="5"/>
      <c r="S2" s="5"/>
      <c r="T2" s="5"/>
      <c r="V2" s="14"/>
    </row>
    <row r="3" customFormat="1" spans="4:20">
      <c r="D3" s="15" t="s">
        <v>24</v>
      </c>
      <c r="K3" s="1"/>
      <c r="L3" s="3"/>
      <c r="M3" s="3"/>
      <c r="N3" s="3"/>
      <c r="O3" s="3"/>
      <c r="P3" s="3"/>
      <c r="Q3" s="3"/>
      <c r="R3" s="3"/>
      <c r="S3" s="3"/>
      <c r="T3" s="3"/>
    </row>
    <row r="4" customFormat="1" spans="11:11">
      <c r="K4" s="1"/>
    </row>
    <row r="5" customFormat="1" spans="1:24">
      <c r="A5" s="3">
        <f t="shared" ref="A5:A12" si="0">A6*105%</f>
        <v>4150.29053803898</v>
      </c>
      <c r="B5" s="4">
        <f>(A5-A13)/A13</f>
        <v>0.477455443789063</v>
      </c>
      <c r="C5" s="5">
        <f t="shared" ref="C5:C12" si="1">C6*0.9</f>
        <v>172.186884</v>
      </c>
      <c r="D5" s="5"/>
      <c r="E5" s="5"/>
      <c r="F5" s="5"/>
      <c r="G5" s="5"/>
      <c r="H5" s="5"/>
      <c r="I5" s="5"/>
      <c r="J5" s="5"/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1" spans="1:24">
      <c r="A6" s="3">
        <f t="shared" si="0"/>
        <v>3952.65765527522</v>
      </c>
      <c r="B6" s="4">
        <f>(A6-A13)/A13</f>
        <v>0.40710042265625</v>
      </c>
      <c r="C6" s="5">
        <f t="shared" si="1"/>
        <v>191.31876</v>
      </c>
      <c r="D6" s="3"/>
      <c r="E6" s="3"/>
      <c r="F6" s="3"/>
      <c r="G6" s="3"/>
      <c r="H6" s="3"/>
      <c r="I6" s="3"/>
      <c r="J6" s="3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1" spans="1:11">
      <c r="A7" s="3">
        <f t="shared" si="0"/>
        <v>3764.43586216688</v>
      </c>
      <c r="B7" s="4">
        <f>(A7-A13)/A13</f>
        <v>0.340095640625</v>
      </c>
      <c r="C7" s="5">
        <f t="shared" si="1"/>
        <v>212.5764</v>
      </c>
      <c r="K7" s="13"/>
    </row>
    <row r="8" customFormat="1" spans="1:11">
      <c r="A8" s="3">
        <f t="shared" si="0"/>
        <v>3585.1770115875</v>
      </c>
      <c r="B8" s="4">
        <f>(A8-A13)/A13</f>
        <v>0.2762815625</v>
      </c>
      <c r="C8" s="5">
        <f t="shared" si="1"/>
        <v>236.196</v>
      </c>
      <c r="I8" s="3"/>
      <c r="K8" s="1"/>
    </row>
    <row r="9" customFormat="1" spans="1:11">
      <c r="A9" s="3">
        <f t="shared" si="0"/>
        <v>3414.45429675</v>
      </c>
      <c r="B9" s="4">
        <f>(A9-A13)/A13</f>
        <v>0.21550625</v>
      </c>
      <c r="C9" s="5">
        <f t="shared" si="1"/>
        <v>262.44</v>
      </c>
      <c r="I9" s="3"/>
      <c r="K9" s="1"/>
    </row>
    <row r="10" customFormat="1" spans="1:11">
      <c r="A10" s="3">
        <f t="shared" si="0"/>
        <v>3251.861235</v>
      </c>
      <c r="B10" s="4">
        <f>(A10-A13)/A13</f>
        <v>0.157625</v>
      </c>
      <c r="C10" s="5">
        <f t="shared" si="1"/>
        <v>291.6</v>
      </c>
      <c r="I10" s="3"/>
      <c r="K10" s="1"/>
    </row>
    <row r="11" customFormat="1" spans="1:11">
      <c r="A11" s="3">
        <f t="shared" si="0"/>
        <v>3097.0107</v>
      </c>
      <c r="B11" s="4">
        <f>(A11-A13)/A13</f>
        <v>0.1025</v>
      </c>
      <c r="C11" s="5">
        <f t="shared" si="1"/>
        <v>324</v>
      </c>
      <c r="I11" s="3"/>
      <c r="K11" s="1"/>
    </row>
    <row r="12" customFormat="1" spans="1:24">
      <c r="A12" s="3">
        <f t="shared" si="0"/>
        <v>2949.534</v>
      </c>
      <c r="B12" s="4">
        <f>(A12-A13)/A13</f>
        <v>0.0500000000000001</v>
      </c>
      <c r="C12" s="5">
        <f t="shared" si="1"/>
        <v>360</v>
      </c>
      <c r="D12" s="5"/>
      <c r="E12" s="5"/>
      <c r="F12" s="5"/>
      <c r="G12" s="5"/>
      <c r="H12" s="5"/>
      <c r="I12" s="5"/>
      <c r="J12" s="5"/>
      <c r="K12" s="1"/>
      <c r="U12" s="5"/>
      <c r="V12" s="5"/>
      <c r="W12" s="5"/>
      <c r="X12" s="5"/>
    </row>
    <row r="13" customFormat="1" spans="1:24">
      <c r="A13" s="6">
        <v>2809.08</v>
      </c>
      <c r="B13">
        <f>(A13-A13)/A13</f>
        <v>0</v>
      </c>
      <c r="C13" s="7">
        <v>400</v>
      </c>
      <c r="D13" s="3"/>
      <c r="E13" s="3"/>
      <c r="F13" s="3"/>
      <c r="G13" s="3"/>
      <c r="H13" s="3"/>
      <c r="I13" s="3"/>
      <c r="J13" s="3"/>
      <c r="K13" s="1"/>
      <c r="U13" s="3"/>
      <c r="V13" s="3"/>
      <c r="W13" s="3"/>
      <c r="X13" s="3"/>
    </row>
    <row r="14" customFormat="1" spans="1:11">
      <c r="A14" s="3">
        <f>A13*0.95</f>
        <v>2668.626</v>
      </c>
      <c r="B14" s="4">
        <f>(A14-A13)/A13</f>
        <v>-0.0500000000000001</v>
      </c>
      <c r="C14" s="5">
        <f>C13*1.1</f>
        <v>440</v>
      </c>
      <c r="K14" s="13"/>
    </row>
    <row r="15" customFormat="1" spans="1:11">
      <c r="A15" s="3">
        <f>A13*0.9</f>
        <v>2528.172</v>
      </c>
      <c r="B15" s="4">
        <f>(A15-A13)/A13</f>
        <v>-0.1</v>
      </c>
      <c r="C15" s="5">
        <f>C13*1.2</f>
        <v>480</v>
      </c>
      <c r="I15" s="3"/>
      <c r="K15" s="1"/>
    </row>
    <row r="16" customFormat="1" spans="1:11">
      <c r="A16" s="3">
        <f>A13*0.85</f>
        <v>2387.718</v>
      </c>
      <c r="B16" s="4">
        <f>(A16-A13)/A13</f>
        <v>-0.15</v>
      </c>
      <c r="C16" s="5">
        <f>C13*1.3</f>
        <v>520</v>
      </c>
      <c r="I16" s="3"/>
      <c r="K16" s="1"/>
    </row>
    <row r="17" customFormat="1" spans="1:11">
      <c r="A17" s="3">
        <f>A13*0.8</f>
        <v>2247.264</v>
      </c>
      <c r="B17" s="4">
        <f>(A17-A13)/A13</f>
        <v>-0.2</v>
      </c>
      <c r="C17" s="5">
        <f>C13*1.4</f>
        <v>560</v>
      </c>
      <c r="I17" s="3"/>
      <c r="K17" s="1"/>
    </row>
    <row r="18" customFormat="1" spans="1:11">
      <c r="A18" s="3">
        <f>A13*0.75</f>
        <v>2106.81</v>
      </c>
      <c r="B18" s="4">
        <f>(A18-A13)/A13</f>
        <v>-0.25</v>
      </c>
      <c r="C18" s="5">
        <f>C13*1.5</f>
        <v>600</v>
      </c>
      <c r="I18" s="3"/>
      <c r="K18" s="1"/>
    </row>
    <row r="19" customFormat="1" spans="1:11">
      <c r="A19" s="3">
        <f>A13*0.7</f>
        <v>1966.356</v>
      </c>
      <c r="B19" s="4">
        <f>(A19-A13)/A13</f>
        <v>-0.3</v>
      </c>
      <c r="C19" s="5">
        <f>C13*1.6</f>
        <v>640</v>
      </c>
      <c r="I19" s="3"/>
      <c r="K19" s="1"/>
    </row>
    <row r="20" spans="1:3">
      <c r="A20" s="3">
        <f>A13*0.65</f>
        <v>1825.902</v>
      </c>
      <c r="B20" s="4">
        <f>(A20-A13)/A13</f>
        <v>-0.35</v>
      </c>
      <c r="C20" s="5">
        <f>C13*1.7</f>
        <v>680</v>
      </c>
    </row>
    <row r="21" spans="1:3">
      <c r="A21" s="3">
        <f>A13*0.6</f>
        <v>1685.448</v>
      </c>
      <c r="B21" s="4">
        <f>(A21-A13)/A13</f>
        <v>-0.4</v>
      </c>
      <c r="C21" s="5">
        <f>C13*1.8</f>
        <v>720</v>
      </c>
    </row>
    <row r="22" spans="1:3">
      <c r="A22" s="3">
        <f>A13*0.55</f>
        <v>1544.994</v>
      </c>
      <c r="B22" s="4">
        <f>(A22-A13)/A13</f>
        <v>-0.45</v>
      </c>
      <c r="C22" s="5">
        <f>C13*1.9</f>
        <v>760</v>
      </c>
    </row>
    <row r="23" spans="1:3">
      <c r="A23" s="3">
        <f>A13*0.5</f>
        <v>1404.54</v>
      </c>
      <c r="B23" s="4">
        <f>(A23-A13)/A13</f>
        <v>-0.5</v>
      </c>
      <c r="C23" s="5">
        <f>C13*2</f>
        <v>800</v>
      </c>
    </row>
    <row r="24" spans="1:3">
      <c r="A24" s="3">
        <f>A13*0.45</f>
        <v>1264.086</v>
      </c>
      <c r="B24" s="4">
        <f>(A24-A13)/A13</f>
        <v>-0.55</v>
      </c>
      <c r="C24" s="5">
        <f>C13*2.1</f>
        <v>840</v>
      </c>
    </row>
    <row r="25" spans="1:3">
      <c r="A25" s="3">
        <f>A13*0.4</f>
        <v>1123.632</v>
      </c>
      <c r="B25" s="4">
        <f>(A25-A13)/A13</f>
        <v>-0.6</v>
      </c>
      <c r="C25" s="5">
        <f>C13*2.2</f>
        <v>880</v>
      </c>
    </row>
    <row r="26" spans="1:3">
      <c r="A26" s="3">
        <f>A13*0.35</f>
        <v>983.178</v>
      </c>
      <c r="B26" s="4">
        <f>(A26-A13)/A13</f>
        <v>-0.65</v>
      </c>
      <c r="C26" s="5">
        <f>C13*2.3</f>
        <v>920</v>
      </c>
    </row>
    <row r="30" spans="1:6">
      <c r="A30" s="6">
        <v>2809.08</v>
      </c>
      <c r="B30">
        <f>(A30-A30)/A30</f>
        <v>0</v>
      </c>
      <c r="C30" s="7">
        <v>4000</v>
      </c>
      <c r="D30" s="8"/>
      <c r="E30" s="10">
        <v>0</v>
      </c>
      <c r="F30" s="11">
        <v>0</v>
      </c>
    </row>
    <row r="31" spans="1:6">
      <c r="A31" s="3">
        <f>A30*0.95</f>
        <v>2668.626</v>
      </c>
      <c r="B31" s="4">
        <f>(A31-A30)/A30</f>
        <v>-0.0500000000000001</v>
      </c>
      <c r="C31" s="5">
        <f>C30*1.1</f>
        <v>4400</v>
      </c>
      <c r="E31" s="10">
        <f>(A31-A30)/A30*C30</f>
        <v>-200</v>
      </c>
      <c r="F31" s="11">
        <f>E31/SUM(C30:C31)</f>
        <v>-0.0238095238095238</v>
      </c>
    </row>
    <row r="32" spans="1:6">
      <c r="A32" s="3">
        <f>A30*0.9</f>
        <v>2528.172</v>
      </c>
      <c r="B32" s="4">
        <f>(A32-A30)/A30</f>
        <v>-0.1</v>
      </c>
      <c r="C32" s="5">
        <f t="shared" ref="C32:C39" si="2">C31*1.1</f>
        <v>4840</v>
      </c>
      <c r="E32" s="10">
        <f>(A32-A30)/A30*C30+(A32-A31)/A31*C31</f>
        <v>-631.578947368421</v>
      </c>
      <c r="F32" s="11">
        <f>E32/SUM(C30:C32)</f>
        <v>-0.0477023374145333</v>
      </c>
    </row>
    <row r="33" spans="1:6">
      <c r="A33" s="3">
        <f>A30*0.85</f>
        <v>2387.718</v>
      </c>
      <c r="B33" s="4">
        <f>(A33-A30)/A30</f>
        <v>-0.15</v>
      </c>
      <c r="C33" s="5">
        <f t="shared" si="2"/>
        <v>5324</v>
      </c>
      <c r="E33" s="10">
        <f>(A33-A30)/A30*C30+(A33-A31)/A31*C31+(A33-A32)/A32*C32</f>
        <v>-1332.04678362573</v>
      </c>
      <c r="F33" s="11">
        <f>E33/SUM(C30:C33)</f>
        <v>-0.0717542977604898</v>
      </c>
    </row>
    <row r="34" spans="1:6">
      <c r="A34" s="3">
        <f>A30*0.8</f>
        <v>2247.264</v>
      </c>
      <c r="B34" s="4">
        <f>(A34-A30)/A30</f>
        <v>-0.2</v>
      </c>
      <c r="C34" s="5">
        <f t="shared" si="2"/>
        <v>5856.4</v>
      </c>
      <c r="E34" s="10">
        <f>(A34-A30)/A30*C30+(A34-A31)/A31*C31+(A34-A32)/A32*C32+(A34-A33)/A33*C33</f>
        <v>-2345.69109047127</v>
      </c>
      <c r="F34" s="11">
        <f>E34/SUM(C30:C34)</f>
        <v>-0.0960545728354685</v>
      </c>
    </row>
    <row r="35" spans="1:6">
      <c r="A35" s="3">
        <f>A30*0.75</f>
        <v>2106.81</v>
      </c>
      <c r="B35" s="4">
        <f>(A35-A30)/A30</f>
        <v>-0.25</v>
      </c>
      <c r="C35" s="5">
        <f t="shared" si="2"/>
        <v>6442.04</v>
      </c>
      <c r="E35" s="10">
        <f>(A35-A30)/A30*C30+(A35-A31)/A31*C31+(A35-A32)/A32*C32+(A35-A33)/A33*C33+(A35-A34)/A34*C34</f>
        <v>-3725.36039731682</v>
      </c>
      <c r="F35" s="11">
        <f>E35/SUM(C30:C35)</f>
        <v>-0.120708550500765</v>
      </c>
    </row>
    <row r="36" spans="1:6">
      <c r="A36" s="3">
        <f>A30*0.7</f>
        <v>1966.356</v>
      </c>
      <c r="B36" s="4">
        <f>(A36-A30)/A30</f>
        <v>-0.3</v>
      </c>
      <c r="C36" s="5">
        <f t="shared" si="2"/>
        <v>7086.244</v>
      </c>
      <c r="E36" s="10">
        <f>(A36-A30)/A30*C30+(A36-A31)/A31*C31+(A36-A32)/A32*C32+(A36-A33)/A33*C33+(A36-A34)/A34*C34+(A36-A35)/A35*C35</f>
        <v>-5534.4990374957</v>
      </c>
      <c r="F36" s="11">
        <f>E36/SUM(C30:C36)</f>
        <v>-0.145841659159925</v>
      </c>
    </row>
    <row r="37" spans="1:6">
      <c r="A37" s="3">
        <f>A30*0.65</f>
        <v>1825.902</v>
      </c>
      <c r="B37" s="4">
        <f>(A37-A30)/A30</f>
        <v>-0.35</v>
      </c>
      <c r="C37" s="5">
        <f t="shared" si="2"/>
        <v>7794.8684</v>
      </c>
      <c r="E37" s="10">
        <f>(A37-A30)/A30*C30+(A37-A31)/A31*C31+(A37-A32)/A32*C32+(A37-A33)/A33*C33+(A37-A34)/A34*C34+(A37-A35)/A35*C35+(A37-A36)/A36*C36</f>
        <v>-7849.79796338886</v>
      </c>
      <c r="F37" s="11">
        <f>E37/SUM(C30:C37)</f>
        <v>-0.171604467767328</v>
      </c>
    </row>
    <row r="38" spans="1:6">
      <c r="A38" s="3">
        <f>A30*0.6</f>
        <v>1685.448</v>
      </c>
      <c r="B38" s="4">
        <f>(A38-A30)/A30</f>
        <v>-0.4</v>
      </c>
      <c r="C38" s="5">
        <f t="shared" si="2"/>
        <v>8574.35524</v>
      </c>
      <c r="E38" s="10">
        <f>(A38-A30)/A30*C30+(A38-A31)/A31*C31+(A38-A32)/A32*C32+(A38-A33)/A33*C33+(A38-A34)/A34*C34+(A38-A35)/A35*C35+(A38-A36)/A36*C36+(A38-A37)/A37*C37</f>
        <v>-10764.7021508205</v>
      </c>
      <c r="F38" s="11">
        <f>E38/SUM(C30:C38)</f>
        <v>-0.198179617340291</v>
      </c>
    </row>
    <row r="39" spans="1:6">
      <c r="A39" s="3">
        <f>A30*0.55</f>
        <v>1544.994</v>
      </c>
      <c r="B39" s="4">
        <f>(A39-A30)/A30</f>
        <v>-0.45</v>
      </c>
      <c r="C39" s="5">
        <f t="shared" si="2"/>
        <v>9431.790764</v>
      </c>
      <c r="E39" s="10">
        <f>(A39-A30)/A30*C30+(A39-A31)/A31*C31+(A39-A32)/A32*C32+(A39-A33)/A33*C33+(A39-A34)/A34*C34+(A39-A35)/A35*C35+(A39-A36)/A36*C36+(A39-A37)/A37*C37+(A39-A38)/A38*C38</f>
        <v>-14394.1359415855</v>
      </c>
      <c r="F39" s="11">
        <f>E39/SUM(C30:C39)</f>
        <v>-0.225791435911833</v>
      </c>
    </row>
    <row r="41" spans="3:4">
      <c r="C41" s="9">
        <f>SUM(C30:C39)</f>
        <v>63749.698404</v>
      </c>
      <c r="D41" s="8">
        <f>SUM(D30:D39)</f>
        <v>0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1"/>
  <sheetViews>
    <sheetView workbookViewId="0">
      <selection activeCell="G9" sqref="G9"/>
    </sheetView>
  </sheetViews>
  <sheetFormatPr defaultColWidth="9" defaultRowHeight="17.6"/>
  <cols>
    <col min="1" max="2" width="15.7767857142857" customWidth="1"/>
    <col min="3" max="3" width="21.1339285714286" customWidth="1"/>
    <col min="4" max="4" width="12.7857142857143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5.9196428571429" style="1" customWidth="1"/>
    <col min="12" max="12" width="13.0892857142857" customWidth="1"/>
    <col min="13" max="21" width="10.7857142857143" customWidth="1"/>
    <col min="22" max="22" width="13" customWidth="1"/>
    <col min="23" max="23" width="10.7857142857143" customWidth="1"/>
    <col min="24" max="24" width="12.6517857142857" customWidth="1"/>
    <col min="25" max="25" width="17.5625" customWidth="1"/>
  </cols>
  <sheetData>
    <row r="1" customFormat="1" spans="1:11">
      <c r="A1" s="2">
        <v>43940</v>
      </c>
      <c r="K1" s="1"/>
    </row>
    <row r="2" customFormat="1" spans="1:22">
      <c r="A2" s="15" t="s">
        <v>25</v>
      </c>
      <c r="K2" s="12"/>
      <c r="L2" s="5"/>
      <c r="M2" s="5"/>
      <c r="N2" s="5"/>
      <c r="O2" s="5"/>
      <c r="P2" s="5"/>
      <c r="Q2" s="5"/>
      <c r="R2" s="5"/>
      <c r="S2" s="5"/>
      <c r="T2" s="5"/>
      <c r="V2" s="14"/>
    </row>
    <row r="3" customFormat="1" spans="1:20">
      <c r="A3" s="15" t="s">
        <v>26</v>
      </c>
      <c r="K3" s="1"/>
      <c r="L3" s="3"/>
      <c r="M3" s="3"/>
      <c r="N3" s="3"/>
      <c r="O3" s="3"/>
      <c r="P3" s="3"/>
      <c r="Q3" s="3"/>
      <c r="R3" s="3"/>
      <c r="S3" s="3"/>
      <c r="T3" s="3"/>
    </row>
    <row r="4" customFormat="1" spans="4:11">
      <c r="D4" s="2">
        <v>43942</v>
      </c>
      <c r="E4" s="2">
        <v>43969</v>
      </c>
      <c r="F4" s="2">
        <v>43978</v>
      </c>
      <c r="K4" s="1"/>
    </row>
    <row r="5" customFormat="1" spans="1:24">
      <c r="A5" s="3">
        <f t="shared" ref="A5:A12" si="0">A6*105%</f>
        <v>7901.10667318627</v>
      </c>
      <c r="B5" s="4">
        <f>(A5-A13)/A13</f>
        <v>0.477455443789063</v>
      </c>
      <c r="C5" s="5">
        <f t="shared" ref="C5:C12" si="1">C6*0.9</f>
        <v>172.186884</v>
      </c>
      <c r="D5" s="5"/>
      <c r="E5" s="5"/>
      <c r="G5" s="5"/>
      <c r="H5" s="5"/>
      <c r="I5" s="5"/>
      <c r="J5" s="5"/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1" spans="1:24">
      <c r="A6" s="3">
        <f t="shared" si="0"/>
        <v>7524.86349827264</v>
      </c>
      <c r="B6" s="4">
        <f>(A6-A13)/A13</f>
        <v>0.40710042265625</v>
      </c>
      <c r="C6" s="5">
        <f t="shared" si="1"/>
        <v>191.31876</v>
      </c>
      <c r="D6" s="3"/>
      <c r="E6" s="3"/>
      <c r="G6" s="3"/>
      <c r="H6" s="3"/>
      <c r="I6" s="3"/>
      <c r="J6" s="3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1" spans="1:11">
      <c r="A7" s="3">
        <f t="shared" si="0"/>
        <v>7166.53666502156</v>
      </c>
      <c r="B7" s="4">
        <f>(A7-A13)/A13</f>
        <v>0.340095640625</v>
      </c>
      <c r="C7" s="5">
        <f t="shared" si="1"/>
        <v>212.5764</v>
      </c>
      <c r="K7" s="13"/>
    </row>
    <row r="8" customFormat="1" spans="1:11">
      <c r="A8" s="3">
        <f t="shared" si="0"/>
        <v>6825.27301430625</v>
      </c>
      <c r="B8" s="4">
        <f>(A8-A13)/A13</f>
        <v>0.2762815625</v>
      </c>
      <c r="C8" s="5">
        <f t="shared" si="1"/>
        <v>236.196</v>
      </c>
      <c r="I8" s="3"/>
      <c r="K8" s="1"/>
    </row>
    <row r="9" customFormat="1" spans="1:11">
      <c r="A9" s="3">
        <f t="shared" si="0"/>
        <v>6500.260013625</v>
      </c>
      <c r="B9" s="4">
        <f>(A9-A13)/A13</f>
        <v>0.21550625</v>
      </c>
      <c r="C9" s="5">
        <f t="shared" si="1"/>
        <v>262.44</v>
      </c>
      <c r="I9" s="3"/>
      <c r="K9" s="1"/>
    </row>
    <row r="10" customFormat="1" spans="1:11">
      <c r="A10" s="3">
        <f t="shared" si="0"/>
        <v>6190.7238225</v>
      </c>
      <c r="B10" s="4">
        <f>(A10-A13)/A13</f>
        <v>0.157625</v>
      </c>
      <c r="C10" s="5">
        <f t="shared" si="1"/>
        <v>291.6</v>
      </c>
      <c r="I10" s="3"/>
      <c r="K10" s="1"/>
    </row>
    <row r="11" customFormat="1" spans="1:11">
      <c r="A11" s="3">
        <f t="shared" si="0"/>
        <v>5895.92745</v>
      </c>
      <c r="B11" s="4">
        <f>(A11-A13)/A13</f>
        <v>0.1025</v>
      </c>
      <c r="C11" s="5">
        <f t="shared" si="1"/>
        <v>324</v>
      </c>
      <c r="I11" s="3"/>
      <c r="K11" s="1"/>
    </row>
    <row r="12" customFormat="1" spans="1:24">
      <c r="A12" s="3">
        <f t="shared" si="0"/>
        <v>5615.169</v>
      </c>
      <c r="B12" s="4">
        <f>(A12-A13)/A13</f>
        <v>0.05</v>
      </c>
      <c r="C12" s="5">
        <f t="shared" si="1"/>
        <v>360</v>
      </c>
      <c r="D12" s="5"/>
      <c r="E12" s="5"/>
      <c r="G12" s="5"/>
      <c r="H12" s="5"/>
      <c r="I12" s="5"/>
      <c r="J12" s="5"/>
      <c r="K12" s="1"/>
      <c r="U12" s="5"/>
      <c r="V12" s="5"/>
      <c r="W12" s="5"/>
      <c r="X12" s="5"/>
    </row>
    <row r="13" customFormat="1" spans="1:24">
      <c r="A13" s="6">
        <v>5347.78</v>
      </c>
      <c r="B13">
        <f>(A13-A13)/A13</f>
        <v>0</v>
      </c>
      <c r="C13" s="7">
        <v>400</v>
      </c>
      <c r="D13" s="6">
        <v>5242.88</v>
      </c>
      <c r="E13" s="6">
        <v>5478.82</v>
      </c>
      <c r="F13" s="6">
        <v>5369.5</v>
      </c>
      <c r="G13" s="3"/>
      <c r="H13" s="3"/>
      <c r="I13" s="3"/>
      <c r="J13" s="3"/>
      <c r="K13" s="1"/>
      <c r="U13" s="3"/>
      <c r="V13" s="3"/>
      <c r="W13" s="3"/>
      <c r="X13" s="3"/>
    </row>
    <row r="14" customFormat="1" spans="1:11">
      <c r="A14" s="3">
        <f>A13*0.95</f>
        <v>5080.391</v>
      </c>
      <c r="B14" s="4">
        <f>(A14-A13)/A13</f>
        <v>-0.05</v>
      </c>
      <c r="C14" s="5">
        <f>C13*1.1</f>
        <v>440</v>
      </c>
      <c r="K14" s="13"/>
    </row>
    <row r="15" customFormat="1" spans="1:11">
      <c r="A15" s="3">
        <f>A13*0.9</f>
        <v>4813.002</v>
      </c>
      <c r="B15" s="4">
        <f>(A15-A13)/A13</f>
        <v>-0.1</v>
      </c>
      <c r="C15" s="5">
        <f>C13*1.2</f>
        <v>480</v>
      </c>
      <c r="I15" s="3"/>
      <c r="K15" s="1"/>
    </row>
    <row r="16" customFormat="1" spans="1:11">
      <c r="A16" s="3">
        <f>A13*0.85</f>
        <v>4545.613</v>
      </c>
      <c r="B16" s="4">
        <f>(A16-A13)/A13</f>
        <v>-0.15</v>
      </c>
      <c r="C16" s="5">
        <f>C13*1.3</f>
        <v>520</v>
      </c>
      <c r="I16" s="3"/>
      <c r="K16" s="1"/>
    </row>
    <row r="17" customFormat="1" spans="1:11">
      <c r="A17" s="3">
        <f>A13*0.8</f>
        <v>4278.224</v>
      </c>
      <c r="B17" s="4">
        <f>(A17-A13)/A13</f>
        <v>-0.2</v>
      </c>
      <c r="C17" s="5">
        <f>C13*1.4</f>
        <v>560</v>
      </c>
      <c r="I17" s="3"/>
      <c r="K17" s="1"/>
    </row>
    <row r="18" customFormat="1" spans="1:11">
      <c r="A18" s="3">
        <f>A13*0.75</f>
        <v>4010.835</v>
      </c>
      <c r="B18" s="4">
        <f>(A18-A13)/A13</f>
        <v>-0.25</v>
      </c>
      <c r="C18" s="5">
        <f>C13*1.5</f>
        <v>600</v>
      </c>
      <c r="I18" s="3"/>
      <c r="K18" s="1"/>
    </row>
    <row r="19" customFormat="1" spans="1:11">
      <c r="A19" s="3">
        <f>A13*0.7</f>
        <v>3743.446</v>
      </c>
      <c r="B19" s="4">
        <f>(A19-A13)/A13</f>
        <v>-0.3</v>
      </c>
      <c r="C19" s="5">
        <f>C13*1.6</f>
        <v>640</v>
      </c>
      <c r="I19" s="3"/>
      <c r="K19" s="1"/>
    </row>
    <row r="20" spans="1:3">
      <c r="A20" s="3">
        <f>A13*0.65</f>
        <v>3476.057</v>
      </c>
      <c r="B20" s="4">
        <f>(A20-A13)/A13</f>
        <v>-0.35</v>
      </c>
      <c r="C20" s="5">
        <f>C13*1.7</f>
        <v>680</v>
      </c>
    </row>
    <row r="21" spans="1:3">
      <c r="A21" s="3">
        <f>A13*0.6</f>
        <v>3208.668</v>
      </c>
      <c r="B21" s="4">
        <f>(A21-A13)/A13</f>
        <v>-0.4</v>
      </c>
      <c r="C21" s="5">
        <f>C13*1.8</f>
        <v>720</v>
      </c>
    </row>
    <row r="22" spans="1:3">
      <c r="A22" s="3">
        <f>A13*0.55</f>
        <v>2941.279</v>
      </c>
      <c r="B22" s="4">
        <f>(A22-A13)/A13</f>
        <v>-0.45</v>
      </c>
      <c r="C22" s="5">
        <f>C13*1.9</f>
        <v>760</v>
      </c>
    </row>
    <row r="23" spans="1:3">
      <c r="A23" s="3">
        <f>A13*0.5</f>
        <v>2673.89</v>
      </c>
      <c r="B23" s="4">
        <f>(A23-A13)/A13</f>
        <v>-0.5</v>
      </c>
      <c r="C23" s="5">
        <f>C13*2</f>
        <v>800</v>
      </c>
    </row>
    <row r="24" spans="1:3">
      <c r="A24" s="3">
        <f>A13*0.45</f>
        <v>2406.501</v>
      </c>
      <c r="B24" s="4">
        <f>(A24-A13)/A13</f>
        <v>-0.55</v>
      </c>
      <c r="C24" s="5">
        <f>C13*2.1</f>
        <v>840</v>
      </c>
    </row>
    <row r="25" spans="1:3">
      <c r="A25" s="3">
        <f>A13*0.4</f>
        <v>2139.112</v>
      </c>
      <c r="B25" s="4">
        <f>(A25-A13)/A13</f>
        <v>-0.6</v>
      </c>
      <c r="C25" s="5">
        <f>C13*2.2</f>
        <v>880</v>
      </c>
    </row>
    <row r="26" spans="1:3">
      <c r="A26" s="3">
        <f>A13*0.35</f>
        <v>1871.723</v>
      </c>
      <c r="B26" s="4">
        <f>(A26-A13)/A13</f>
        <v>-0.65</v>
      </c>
      <c r="C26" s="5">
        <f>C13*2.3</f>
        <v>920</v>
      </c>
    </row>
    <row r="30" spans="1:6">
      <c r="A30" s="6">
        <v>5347.78</v>
      </c>
      <c r="B30">
        <f>(A30-A30)/A30</f>
        <v>0</v>
      </c>
      <c r="C30" s="7">
        <v>3000</v>
      </c>
      <c r="D30" s="8">
        <f>C30</f>
        <v>3000</v>
      </c>
      <c r="E30" s="10">
        <v>0</v>
      </c>
      <c r="F30" s="11">
        <v>0</v>
      </c>
    </row>
    <row r="31" spans="1:6">
      <c r="A31" s="3">
        <f>A30*0.95</f>
        <v>5080.391</v>
      </c>
      <c r="B31" s="4">
        <f>(A31-A30)/A30</f>
        <v>-0.05</v>
      </c>
      <c r="C31" s="5">
        <f>C30*1.1</f>
        <v>3300</v>
      </c>
      <c r="E31" s="10">
        <f>(A31-A30)/A30*C30</f>
        <v>-150</v>
      </c>
      <c r="F31" s="11">
        <f>E31/SUM(C30:C31)</f>
        <v>-0.0238095238095238</v>
      </c>
    </row>
    <row r="32" spans="1:6">
      <c r="A32" s="3">
        <f>A30*0.9</f>
        <v>4813.002</v>
      </c>
      <c r="B32" s="4">
        <f>(A32-A30)/A30</f>
        <v>-0.1</v>
      </c>
      <c r="C32" s="5">
        <f t="shared" ref="C32:C39" si="2">C31*1.1</f>
        <v>3630</v>
      </c>
      <c r="E32" s="10">
        <f>(A32-A30)/A30*C30+(A32-A31)/A31*C31</f>
        <v>-473.684210526315</v>
      </c>
      <c r="F32" s="11">
        <f>E32/SUM(C30:C32)</f>
        <v>-0.0477023374145332</v>
      </c>
    </row>
    <row r="33" spans="1:6">
      <c r="A33" s="3">
        <f>A30*0.85</f>
        <v>4545.613</v>
      </c>
      <c r="B33" s="4">
        <f>(A33-A30)/A30</f>
        <v>-0.15</v>
      </c>
      <c r="C33" s="5">
        <f t="shared" si="2"/>
        <v>3993</v>
      </c>
      <c r="E33" s="10">
        <f>(A33-A30)/A30*C30+(A33-A31)/A31*C31+(A33-A32)/A32*C32</f>
        <v>-999.035087719298</v>
      </c>
      <c r="F33" s="11">
        <f>E33/SUM(C30:C33)</f>
        <v>-0.0717542977604897</v>
      </c>
    </row>
    <row r="34" spans="1:6">
      <c r="A34" s="3">
        <f>A30*0.8</f>
        <v>4278.224</v>
      </c>
      <c r="B34" s="4">
        <f>(A34-A30)/A30</f>
        <v>-0.2</v>
      </c>
      <c r="C34" s="5">
        <f t="shared" si="2"/>
        <v>4392.3</v>
      </c>
      <c r="E34" s="10">
        <f>(A34-A30)/A30*C30+(A34-A31)/A31*C31+(A34-A32)/A32*C32+(A34-A33)/A33*C33</f>
        <v>-1759.26831785346</v>
      </c>
      <c r="F34" s="11">
        <f>E34/SUM(C30:C34)</f>
        <v>-0.0960545728354685</v>
      </c>
    </row>
    <row r="35" spans="1:6">
      <c r="A35" s="3">
        <f>A30*0.75</f>
        <v>4010.835</v>
      </c>
      <c r="B35" s="4">
        <f>(A35-A30)/A30</f>
        <v>-0.25</v>
      </c>
      <c r="C35" s="5">
        <f t="shared" si="2"/>
        <v>4831.53</v>
      </c>
      <c r="E35" s="10">
        <f>(A35-A30)/A30*C30+(A35-A31)/A31*C31+(A35-A32)/A32*C32+(A35-A33)/A33*C33+(A35-A34)/A34*C34</f>
        <v>-2794.02029798762</v>
      </c>
      <c r="F35" s="11">
        <f>E35/SUM(C30:C35)</f>
        <v>-0.120708550500765</v>
      </c>
    </row>
    <row r="36" spans="1:6">
      <c r="A36" s="3">
        <f>A30*0.7</f>
        <v>3743.446</v>
      </c>
      <c r="B36" s="4">
        <f>(A36-A30)/A30</f>
        <v>-0.3</v>
      </c>
      <c r="C36" s="5">
        <f t="shared" si="2"/>
        <v>5314.683</v>
      </c>
      <c r="E36" s="10">
        <f>(A36-A30)/A30*C30+(A36-A31)/A31*C31+(A36-A32)/A32*C32+(A36-A33)/A33*C33+(A36-A34)/A34*C34+(A36-A35)/A35*C35</f>
        <v>-4150.87427812178</v>
      </c>
      <c r="F36" s="11">
        <f>E36/SUM(C30:C36)</f>
        <v>-0.145841659159925</v>
      </c>
    </row>
    <row r="37" spans="1:6">
      <c r="A37" s="3">
        <f>A30*0.65</f>
        <v>3476.057</v>
      </c>
      <c r="B37" s="4">
        <f>(A37-A30)/A30</f>
        <v>-0.35</v>
      </c>
      <c r="C37" s="5">
        <f t="shared" si="2"/>
        <v>5846.1513</v>
      </c>
      <c r="E37" s="10">
        <f>(A37-A30)/A30*C30+(A37-A31)/A31*C31+(A37-A32)/A32*C32+(A37-A33)/A33*C33+(A37-A34)/A34*C34+(A37-A35)/A35*C35+(A37-A36)/A36*C36</f>
        <v>-5887.34847254165</v>
      </c>
      <c r="F37" s="11">
        <f>E37/SUM(C30:C37)</f>
        <v>-0.171604467767328</v>
      </c>
    </row>
    <row r="38" spans="1:6">
      <c r="A38" s="3">
        <f>A30*0.6</f>
        <v>3208.668</v>
      </c>
      <c r="B38" s="4">
        <f>(A38-A30)/A30</f>
        <v>-0.4</v>
      </c>
      <c r="C38" s="5">
        <f t="shared" si="2"/>
        <v>6430.76643</v>
      </c>
      <c r="E38" s="10">
        <f>(A38-A30)/A30*C30+(A38-A31)/A31*C31+(A38-A32)/A32*C32+(A38-A33)/A33*C33+(A38-A34)/A34*C34+(A38-A35)/A35*C35+(A38-A36)/A36*C36+(A38-A37)/A37*C37</f>
        <v>-8073.52661311537</v>
      </c>
      <c r="F38" s="11">
        <f>E38/SUM(C30:C38)</f>
        <v>-0.198179617340291</v>
      </c>
    </row>
    <row r="39" spans="1:6">
      <c r="A39" s="3">
        <f>A30*0.55</f>
        <v>2941.279</v>
      </c>
      <c r="B39" s="4">
        <f>(A39-A30)/A30</f>
        <v>-0.45</v>
      </c>
      <c r="C39" s="5">
        <f t="shared" si="2"/>
        <v>7073.843073</v>
      </c>
      <c r="E39" s="10">
        <f>(A39-A30)/A30*C30+(A39-A31)/A31*C31+(A39-A32)/A32*C32+(A39-A33)/A33*C33+(A39-A34)/A34*C34+(A39-A35)/A35*C35+(A39-A36)/A36*C36+(A39-A37)/A37*C37+(A39-A38)/A38*C38</f>
        <v>-10795.6019561891</v>
      </c>
      <c r="F39" s="11">
        <f>E39/SUM(C30:C39)</f>
        <v>-0.225791435911833</v>
      </c>
    </row>
    <row r="41" spans="3:4">
      <c r="C41" s="9">
        <f>SUM(C30:C39)</f>
        <v>47812.273803</v>
      </c>
      <c r="D41" s="8">
        <f>SUM(D30:D39)</f>
        <v>3000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W41"/>
  <sheetViews>
    <sheetView topLeftCell="A20" workbookViewId="0">
      <selection activeCell="D30" sqref="D30"/>
    </sheetView>
  </sheetViews>
  <sheetFormatPr defaultColWidth="9" defaultRowHeight="17.6"/>
  <cols>
    <col min="1" max="1" width="15.7767857142857" customWidth="1"/>
    <col min="2" max="2" width="21.1339285714286" customWidth="1"/>
    <col min="3" max="3" width="12.7857142857143" customWidth="1"/>
    <col min="4" max="4" width="12.0535714285714" customWidth="1"/>
    <col min="5" max="5" width="16.2142857142857" customWidth="1"/>
    <col min="6" max="7" width="12.7857142857143" customWidth="1"/>
    <col min="8" max="8" width="13.6964285714286" customWidth="1"/>
    <col min="9" max="9" width="10.7857142857143" customWidth="1"/>
    <col min="10" max="10" width="15.9196428571429" style="1" customWidth="1"/>
    <col min="11" max="11" width="13.0892857142857" customWidth="1"/>
    <col min="12" max="20" width="10.7857142857143" customWidth="1"/>
    <col min="21" max="21" width="13" customWidth="1"/>
    <col min="22" max="22" width="10.7857142857143" customWidth="1"/>
    <col min="23" max="23" width="12.6517857142857" customWidth="1"/>
    <col min="24" max="24" width="17.5625" customWidth="1"/>
  </cols>
  <sheetData>
    <row r="1" customFormat="1" spans="1:10">
      <c r="A1" s="2"/>
      <c r="D1" s="2">
        <v>43940</v>
      </c>
      <c r="J1" s="1"/>
    </row>
    <row r="2" customFormat="1" spans="4:21">
      <c r="D2" s="15" t="s">
        <v>27</v>
      </c>
      <c r="J2" s="12"/>
      <c r="K2" s="5"/>
      <c r="L2" s="5"/>
      <c r="M2" s="5"/>
      <c r="N2" s="5"/>
      <c r="O2" s="5"/>
      <c r="P2" s="5"/>
      <c r="Q2" s="5"/>
      <c r="R2" s="5"/>
      <c r="S2" s="5"/>
      <c r="U2" s="14"/>
    </row>
    <row r="3" customFormat="1" spans="4:19">
      <c r="D3" s="15" t="s">
        <v>28</v>
      </c>
      <c r="J3" s="1"/>
      <c r="K3" s="3"/>
      <c r="L3" s="3"/>
      <c r="M3" s="3"/>
      <c r="N3" s="3"/>
      <c r="O3" s="3"/>
      <c r="P3" s="3"/>
      <c r="Q3" s="3"/>
      <c r="R3" s="3"/>
      <c r="S3" s="3"/>
    </row>
    <row r="4" customFormat="1" spans="10:10">
      <c r="J4" s="1"/>
    </row>
    <row r="5" customFormat="1" spans="1:23">
      <c r="A5" s="3">
        <f t="shared" ref="A5:A12" si="0">A6*105%</f>
        <v>9332.58370356462</v>
      </c>
      <c r="B5" s="4">
        <f>(A5-A13)/A13</f>
        <v>0.477455443789063</v>
      </c>
      <c r="C5" s="5">
        <f t="shared" ref="C5:C12" si="1">C6*0.9</f>
        <v>107.6168025</v>
      </c>
      <c r="D5" s="5"/>
      <c r="E5" s="5"/>
      <c r="F5" s="5"/>
      <c r="G5" s="5"/>
      <c r="H5" s="5"/>
      <c r="I5" s="5"/>
      <c r="J5" s="1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customFormat="1" spans="1:23">
      <c r="A6" s="3">
        <f t="shared" si="0"/>
        <v>8888.17495577583</v>
      </c>
      <c r="B6" s="4">
        <f>(A6-A13)/A13</f>
        <v>0.40710042265625</v>
      </c>
      <c r="C6" s="5">
        <f t="shared" si="1"/>
        <v>119.574225</v>
      </c>
      <c r="D6" s="3"/>
      <c r="E6" s="3"/>
      <c r="F6" s="3"/>
      <c r="G6" s="3"/>
      <c r="H6" s="3"/>
      <c r="I6" s="3"/>
      <c r="J6" s="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1" spans="1:10">
      <c r="A7" s="3">
        <f t="shared" si="0"/>
        <v>8464.92852931031</v>
      </c>
      <c r="B7" s="4">
        <f>(A7-A13)/A13</f>
        <v>0.340095640625</v>
      </c>
      <c r="C7" s="5">
        <f t="shared" si="1"/>
        <v>132.86025</v>
      </c>
      <c r="J7" s="13"/>
    </row>
    <row r="8" customFormat="1" spans="1:10">
      <c r="A8" s="3">
        <f t="shared" si="0"/>
        <v>8061.83669458125</v>
      </c>
      <c r="B8" s="4">
        <f>(A8-A13)/A13</f>
        <v>0.2762815625</v>
      </c>
      <c r="C8" s="5">
        <f t="shared" si="1"/>
        <v>147.6225</v>
      </c>
      <c r="H8" s="3"/>
      <c r="J8" s="1"/>
    </row>
    <row r="9" customFormat="1" spans="1:10">
      <c r="A9" s="3">
        <f t="shared" si="0"/>
        <v>7677.939709125</v>
      </c>
      <c r="B9" s="4">
        <f>(A9-A13)/A13</f>
        <v>0.21550625</v>
      </c>
      <c r="C9" s="5">
        <f t="shared" si="1"/>
        <v>164.025</v>
      </c>
      <c r="H9" s="3"/>
      <c r="J9" s="1"/>
    </row>
    <row r="10" customFormat="1" spans="1:10">
      <c r="A10" s="3">
        <f t="shared" si="0"/>
        <v>7312.3235325</v>
      </c>
      <c r="B10" s="4">
        <f>(A10-A13)/A13</f>
        <v>0.157625</v>
      </c>
      <c r="C10" s="5">
        <f t="shared" si="1"/>
        <v>182.25</v>
      </c>
      <c r="H10" s="3"/>
      <c r="J10" s="1"/>
    </row>
    <row r="11" customFormat="1" spans="1:10">
      <c r="A11" s="3">
        <f t="shared" si="0"/>
        <v>6964.11765</v>
      </c>
      <c r="B11" s="4">
        <f>(A11-A13)/A13</f>
        <v>0.1025</v>
      </c>
      <c r="C11" s="5">
        <f t="shared" si="1"/>
        <v>202.5</v>
      </c>
      <c r="H11" s="3"/>
      <c r="J11" s="1"/>
    </row>
    <row r="12" customFormat="1" spans="1:23">
      <c r="A12" s="3">
        <f t="shared" si="0"/>
        <v>6632.493</v>
      </c>
      <c r="B12" s="4">
        <f>(A12-A13)/A13</f>
        <v>0.0500000000000001</v>
      </c>
      <c r="C12" s="5">
        <f t="shared" si="1"/>
        <v>225</v>
      </c>
      <c r="D12" s="5"/>
      <c r="E12" s="5"/>
      <c r="F12" s="5"/>
      <c r="G12" s="5"/>
      <c r="H12" s="5"/>
      <c r="I12" s="5"/>
      <c r="J12" s="1"/>
      <c r="T12" s="5"/>
      <c r="U12" s="5"/>
      <c r="V12" s="5"/>
      <c r="W12" s="5"/>
    </row>
    <row r="13" customFormat="1" spans="1:23">
      <c r="A13" s="6">
        <v>6316.66</v>
      </c>
      <c r="B13">
        <f>(A13-A13)/A13</f>
        <v>0</v>
      </c>
      <c r="C13" s="7">
        <v>250</v>
      </c>
      <c r="D13" s="3"/>
      <c r="E13" s="3"/>
      <c r="F13" s="3"/>
      <c r="G13" s="3"/>
      <c r="H13" s="3"/>
      <c r="I13" s="3"/>
      <c r="J13" s="1"/>
      <c r="T13" s="3"/>
      <c r="U13" s="3"/>
      <c r="V13" s="3"/>
      <c r="W13" s="3"/>
    </row>
    <row r="14" customFormat="1" spans="1:10">
      <c r="A14" s="3">
        <f>A13*0.95</f>
        <v>6000.827</v>
      </c>
      <c r="B14" s="4">
        <f>(A14-A13)/A13</f>
        <v>-0.0500000000000001</v>
      </c>
      <c r="C14" s="5">
        <f>C13*1.1</f>
        <v>275</v>
      </c>
      <c r="J14" s="13"/>
    </row>
    <row r="15" customFormat="1" spans="1:10">
      <c r="A15" s="3">
        <f>A13*0.9</f>
        <v>5684.994</v>
      </c>
      <c r="B15" s="4">
        <f>(A15-A13)/A13</f>
        <v>-0.1</v>
      </c>
      <c r="C15" s="5">
        <f>C13*1.2</f>
        <v>300</v>
      </c>
      <c r="H15" s="3"/>
      <c r="J15" s="1"/>
    </row>
    <row r="16" customFormat="1" spans="1:10">
      <c r="A16" s="3">
        <f>A13*0.85</f>
        <v>5369.161</v>
      </c>
      <c r="B16" s="4">
        <f>(A16-A13)/A13</f>
        <v>-0.15</v>
      </c>
      <c r="C16" s="5">
        <f>C13*1.3</f>
        <v>325</v>
      </c>
      <c r="H16" s="3"/>
      <c r="J16" s="1"/>
    </row>
    <row r="17" customFormat="1" spans="1:10">
      <c r="A17" s="3">
        <f>A13*0.8</f>
        <v>5053.328</v>
      </c>
      <c r="B17" s="4">
        <f>(A17-A13)/A13</f>
        <v>-0.2</v>
      </c>
      <c r="C17" s="5">
        <f>C13*1.4</f>
        <v>350</v>
      </c>
      <c r="H17" s="3"/>
      <c r="J17" s="1"/>
    </row>
    <row r="18" customFormat="1" spans="1:10">
      <c r="A18" s="3">
        <f>A13*0.75</f>
        <v>4737.495</v>
      </c>
      <c r="B18" s="4">
        <f>(A18-A13)/A13</f>
        <v>-0.25</v>
      </c>
      <c r="C18" s="5">
        <f>C13*1.5</f>
        <v>375</v>
      </c>
      <c r="H18" s="3"/>
      <c r="J18" s="1"/>
    </row>
    <row r="19" customFormat="1" spans="1:10">
      <c r="A19" s="3">
        <f>A13*0.7</f>
        <v>4421.662</v>
      </c>
      <c r="B19" s="4">
        <f>(A19-A13)/A13</f>
        <v>-0.3</v>
      </c>
      <c r="C19" s="5">
        <f>C13*1.6</f>
        <v>400</v>
      </c>
      <c r="H19" s="3"/>
      <c r="J19" s="1"/>
    </row>
    <row r="20" spans="1:3">
      <c r="A20" s="3">
        <f>A13*0.65</f>
        <v>4105.829</v>
      </c>
      <c r="B20" s="4">
        <f>(A20-A13)/A13</f>
        <v>-0.35</v>
      </c>
      <c r="C20" s="5">
        <f>C13*1.7</f>
        <v>425</v>
      </c>
    </row>
    <row r="21" spans="1:3">
      <c r="A21" s="3">
        <f>A13*0.6</f>
        <v>3789.996</v>
      </c>
      <c r="B21" s="4">
        <f>(A21-A13)/A13</f>
        <v>-0.4</v>
      </c>
      <c r="C21" s="5">
        <f>C13*1.8</f>
        <v>450</v>
      </c>
    </row>
    <row r="22" spans="1:3">
      <c r="A22" s="3">
        <f>A13*0.55</f>
        <v>3474.163</v>
      </c>
      <c r="B22" s="4">
        <f>(A22-A13)/A13</f>
        <v>-0.45</v>
      </c>
      <c r="C22" s="5">
        <f>C13*1.9</f>
        <v>475</v>
      </c>
    </row>
    <row r="23" spans="1:3">
      <c r="A23" s="3">
        <f>A13*0.5</f>
        <v>3158.33</v>
      </c>
      <c r="B23" s="4">
        <f>(A23-A13)/A13</f>
        <v>-0.5</v>
      </c>
      <c r="C23" s="5">
        <f>C13*2</f>
        <v>500</v>
      </c>
    </row>
    <row r="24" spans="1:3">
      <c r="A24" s="3">
        <f>A13*0.45</f>
        <v>2842.497</v>
      </c>
      <c r="B24" s="4">
        <f>(A24-A13)/A13</f>
        <v>-0.55</v>
      </c>
      <c r="C24" s="5">
        <f>C13*2.1</f>
        <v>525</v>
      </c>
    </row>
    <row r="25" spans="1:3">
      <c r="A25" s="3">
        <f>A13*0.4</f>
        <v>2526.664</v>
      </c>
      <c r="B25" s="4">
        <f>(A25-A13)/A13</f>
        <v>-0.6</v>
      </c>
      <c r="C25" s="5">
        <f>C13*2.2</f>
        <v>550</v>
      </c>
    </row>
    <row r="26" spans="1:3">
      <c r="A26" s="3">
        <f>A13*0.35</f>
        <v>2210.831</v>
      </c>
      <c r="B26" s="4">
        <f>(A26-A13)/A13</f>
        <v>-0.65</v>
      </c>
      <c r="C26" s="5">
        <f>C13*2.3</f>
        <v>575</v>
      </c>
    </row>
    <row r="30" spans="1:6">
      <c r="A30" s="6">
        <v>6316.66</v>
      </c>
      <c r="B30">
        <f>(A30-A30)/A30</f>
        <v>0</v>
      </c>
      <c r="C30" s="7">
        <v>5500</v>
      </c>
      <c r="D30" s="8"/>
      <c r="E30" s="10">
        <v>0</v>
      </c>
      <c r="F30" s="11">
        <v>0</v>
      </c>
    </row>
    <row r="31" spans="1:6">
      <c r="A31" s="3">
        <f>A30*0.95</f>
        <v>6000.827</v>
      </c>
      <c r="B31" s="4">
        <f>(A31-A30)/A30</f>
        <v>-0.0500000000000001</v>
      </c>
      <c r="C31" s="5">
        <f>C30*1.1</f>
        <v>6050</v>
      </c>
      <c r="E31" s="10">
        <f>(A31-A30)/A30*C30</f>
        <v>-275</v>
      </c>
      <c r="F31" s="11">
        <f>E31/SUM(C30:C31)</f>
        <v>-0.0238095238095238</v>
      </c>
    </row>
    <row r="32" spans="1:6">
      <c r="A32" s="3">
        <f>A30*0.9</f>
        <v>5684.994</v>
      </c>
      <c r="B32" s="4">
        <f>(A32-A30)/A30</f>
        <v>-0.1</v>
      </c>
      <c r="C32" s="5">
        <f t="shared" ref="C32:C39" si="2">C31*1.1</f>
        <v>6655</v>
      </c>
      <c r="E32" s="10">
        <f>(A32-A30)/A30*C30+(A32-A31)/A31*C31</f>
        <v>-868.42105263158</v>
      </c>
      <c r="F32" s="11">
        <f>E32/SUM(C30:C32)</f>
        <v>-0.0477023374145333</v>
      </c>
    </row>
    <row r="33" spans="1:6">
      <c r="A33" s="3">
        <f>A30*0.85</f>
        <v>5369.161</v>
      </c>
      <c r="B33" s="4">
        <f>(A33-A30)/A30</f>
        <v>-0.15</v>
      </c>
      <c r="C33" s="5">
        <f t="shared" si="2"/>
        <v>7320.5</v>
      </c>
      <c r="E33" s="10">
        <f>(A33-A30)/A30*C30+(A33-A31)/A31*C31+(A33-A32)/A32*C32</f>
        <v>-1831.56432748538</v>
      </c>
      <c r="F33" s="11">
        <f>E33/SUM(C30:C33)</f>
        <v>-0.0717542977604897</v>
      </c>
    </row>
    <row r="34" spans="1:6">
      <c r="A34" s="3">
        <f>A30*0.8</f>
        <v>5053.328</v>
      </c>
      <c r="B34" s="4">
        <f>(A34-A30)/A30</f>
        <v>-0.2</v>
      </c>
      <c r="C34" s="5">
        <f t="shared" si="2"/>
        <v>8052.55</v>
      </c>
      <c r="E34" s="10">
        <f>(A34-A30)/A30*C30+(A34-A31)/A31*C31+(A34-A32)/A32*C32+(A34-A33)/A33*C33</f>
        <v>-3225.325249398</v>
      </c>
      <c r="F34" s="11">
        <f>E34/SUM(C30:C34)</f>
        <v>-0.0960545728354685</v>
      </c>
    </row>
    <row r="35" spans="1:6">
      <c r="A35" s="3">
        <f>A30*0.75</f>
        <v>4737.495</v>
      </c>
      <c r="B35" s="4">
        <f>(A35-A30)/A30</f>
        <v>-0.25</v>
      </c>
      <c r="C35" s="5">
        <f t="shared" si="2"/>
        <v>8857.80500000001</v>
      </c>
      <c r="E35" s="10">
        <f>(A35-A30)/A30*C30+(A35-A31)/A31*C31+(A35-A32)/A32*C32+(A35-A33)/A33*C33+(A35-A34)/A34*C34</f>
        <v>-5122.37054631063</v>
      </c>
      <c r="F35" s="11">
        <f>E35/SUM(C30:C35)</f>
        <v>-0.120708550500765</v>
      </c>
    </row>
    <row r="36" spans="1:6">
      <c r="A36" s="3">
        <f>A30*0.7</f>
        <v>4421.662</v>
      </c>
      <c r="B36" s="4">
        <f>(A36-A30)/A30</f>
        <v>-0.3</v>
      </c>
      <c r="C36" s="5">
        <f t="shared" si="2"/>
        <v>9743.58550000001</v>
      </c>
      <c r="E36" s="10">
        <f>(A36-A30)/A30*C30+(A36-A31)/A31*C31+(A36-A32)/A32*C32+(A36-A33)/A33*C33+(A36-A34)/A34*C34+(A36-A35)/A35*C35</f>
        <v>-7609.93617655659</v>
      </c>
      <c r="F36" s="11">
        <f>E36/SUM(C30:C36)</f>
        <v>-0.145841659159925</v>
      </c>
    </row>
    <row r="37" spans="1:6">
      <c r="A37" s="3">
        <f>A30*0.65</f>
        <v>4105.829</v>
      </c>
      <c r="B37" s="17">
        <f>(A37-A30)/A30</f>
        <v>-0.35</v>
      </c>
      <c r="C37" s="18">
        <f t="shared" si="2"/>
        <v>10717.94405</v>
      </c>
      <c r="E37" s="10">
        <f>(A37-A30)/A30*C30+(A37-A31)/A31*C31+(A37-A32)/A32*C32+(A37-A33)/A33*C33+(A37-A34)/A34*C34+(A37-A35)/A35*C35+(A37-A36)/A36*C36</f>
        <v>-10793.4721996597</v>
      </c>
      <c r="F37" s="11">
        <f>E37/SUM(C30:C37)</f>
        <v>-0.171604467767328</v>
      </c>
    </row>
    <row r="38" spans="1:6">
      <c r="A38" s="3">
        <f>A30*0.6</f>
        <v>3789.996</v>
      </c>
      <c r="B38" s="17">
        <f>(A38-A30)/A30</f>
        <v>-0.4</v>
      </c>
      <c r="C38" s="18">
        <f t="shared" si="2"/>
        <v>11789.738455</v>
      </c>
      <c r="E38" s="10">
        <f>(A38-A30)/A30*C30+(A38-A31)/A31*C31+(A38-A32)/A32*C32+(A38-A33)/A33*C33+(A38-A34)/A34*C34+(A38-A35)/A35*C35+(A38-A36)/A36*C36+(A38-A37)/A37*C37</f>
        <v>-14801.4654573782</v>
      </c>
      <c r="F38" s="11">
        <f>E38/SUM(C30:C38)</f>
        <v>-0.198179617340291</v>
      </c>
    </row>
    <row r="39" spans="1:6">
      <c r="A39" s="3">
        <f>A30*0.55</f>
        <v>3474.163</v>
      </c>
      <c r="B39" s="17">
        <f>(A39-A30)/A30</f>
        <v>-0.45</v>
      </c>
      <c r="C39" s="18">
        <f t="shared" si="2"/>
        <v>12968.7123005</v>
      </c>
      <c r="E39" s="10">
        <f>(A39-A30)/A30*C30+(A39-A31)/A31*C31+(A39-A32)/A32*C32+(A39-A33)/A33*C33+(A39-A34)/A34*C34+(A39-A35)/A35*C35+(A39-A36)/A36*C36+(A39-A37)/A37*C37+(A39-A38)/A38*C38</f>
        <v>-19791.93691968</v>
      </c>
      <c r="F39" s="11">
        <f>E39/SUM(C30:C39)</f>
        <v>-0.225791435911833</v>
      </c>
    </row>
    <row r="41" spans="3:4">
      <c r="C41" s="9">
        <f>SUM(C30:C39)</f>
        <v>87655.8353055001</v>
      </c>
      <c r="D41" s="8">
        <f>SUM(D30:D39)</f>
        <v>0</v>
      </c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W41"/>
  <sheetViews>
    <sheetView topLeftCell="A15" workbookViewId="0">
      <selection activeCell="E31" sqref="E31"/>
    </sheetView>
  </sheetViews>
  <sheetFormatPr defaultColWidth="9" defaultRowHeight="17.6"/>
  <cols>
    <col min="1" max="1" width="15.7767857142857" customWidth="1"/>
    <col min="2" max="2" width="21.1339285714286" customWidth="1"/>
    <col min="3" max="3" width="12.7857142857143" customWidth="1"/>
    <col min="4" max="4" width="16.2232142857143" customWidth="1"/>
    <col min="5" max="5" width="26.6339285714286" customWidth="1"/>
    <col min="6" max="7" width="12.7857142857143" customWidth="1"/>
    <col min="8" max="8" width="13.6964285714286" customWidth="1"/>
    <col min="9" max="9" width="10.7857142857143" customWidth="1"/>
    <col min="10" max="10" width="15.9196428571429" style="1" customWidth="1"/>
    <col min="11" max="11" width="13.0892857142857" customWidth="1"/>
    <col min="12" max="20" width="10.7857142857143" customWidth="1"/>
    <col min="21" max="21" width="13" customWidth="1"/>
    <col min="22" max="22" width="10.7857142857143" customWidth="1"/>
    <col min="23" max="23" width="12.6517857142857" customWidth="1"/>
    <col min="24" max="24" width="17.5625" customWidth="1"/>
  </cols>
  <sheetData>
    <row r="1" customFormat="1" spans="1:10">
      <c r="A1" s="2"/>
      <c r="D1" s="2">
        <v>43940</v>
      </c>
      <c r="J1" s="1"/>
    </row>
    <row r="2" customFormat="1" spans="4:21">
      <c r="D2" s="15" t="s">
        <v>29</v>
      </c>
      <c r="J2" s="12"/>
      <c r="K2" s="5"/>
      <c r="L2" s="5"/>
      <c r="M2" s="5"/>
      <c r="N2" s="5"/>
      <c r="O2" s="5"/>
      <c r="P2" s="5"/>
      <c r="Q2" s="5"/>
      <c r="R2" s="5"/>
      <c r="S2" s="5"/>
      <c r="U2" s="14"/>
    </row>
    <row r="3" customFormat="1" spans="4:19">
      <c r="D3" s="15" t="s">
        <v>30</v>
      </c>
      <c r="J3" s="1"/>
      <c r="K3" s="3"/>
      <c r="L3" s="3"/>
      <c r="M3" s="3"/>
      <c r="N3" s="3"/>
      <c r="O3" s="3"/>
      <c r="P3" s="3"/>
      <c r="Q3" s="3"/>
      <c r="R3" s="3"/>
      <c r="S3" s="3"/>
    </row>
    <row r="4" customFormat="1" spans="10:10">
      <c r="J4" s="1"/>
    </row>
    <row r="5" customFormat="1" spans="1:23">
      <c r="A5" s="3">
        <f t="shared" ref="A5:A12" si="0">A6*105%</f>
        <v>8961.21656078112</v>
      </c>
      <c r="B5" s="4">
        <f>(A5-A13)/A13</f>
        <v>0.477455443789063</v>
      </c>
      <c r="C5" s="5">
        <f t="shared" ref="C5:C12" si="1">C6*0.9</f>
        <v>107.6168025</v>
      </c>
      <c r="D5" s="5"/>
      <c r="E5" s="5"/>
      <c r="F5" s="5"/>
      <c r="G5" s="5"/>
      <c r="H5" s="5"/>
      <c r="I5" s="5"/>
      <c r="J5" s="1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customFormat="1" spans="1:23">
      <c r="A6" s="3">
        <f t="shared" si="0"/>
        <v>8534.49196264869</v>
      </c>
      <c r="B6" s="4">
        <f>(A6-A13)/A13</f>
        <v>0.407100422656251</v>
      </c>
      <c r="C6" s="5">
        <f t="shared" si="1"/>
        <v>119.574225</v>
      </c>
      <c r="D6" s="3"/>
      <c r="E6" s="3"/>
      <c r="F6" s="3"/>
      <c r="G6" s="3"/>
      <c r="H6" s="3"/>
      <c r="I6" s="3"/>
      <c r="J6" s="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1" spans="1:10">
      <c r="A7" s="3">
        <f t="shared" si="0"/>
        <v>8128.08758347494</v>
      </c>
      <c r="B7" s="4">
        <f>(A7-A13)/A13</f>
        <v>0.340095640625</v>
      </c>
      <c r="C7" s="5">
        <f t="shared" si="1"/>
        <v>132.86025</v>
      </c>
      <c r="J7" s="13"/>
    </row>
    <row r="8" customFormat="1" spans="1:10">
      <c r="A8" s="3">
        <f t="shared" si="0"/>
        <v>7741.03579378566</v>
      </c>
      <c r="B8" s="4">
        <f>(A8-A13)/A13</f>
        <v>0.2762815625</v>
      </c>
      <c r="C8" s="5">
        <f t="shared" si="1"/>
        <v>147.6225</v>
      </c>
      <c r="H8" s="3"/>
      <c r="J8" s="1"/>
    </row>
    <row r="9" customFormat="1" spans="1:10">
      <c r="A9" s="3">
        <f t="shared" si="0"/>
        <v>7372.41504170063</v>
      </c>
      <c r="B9" s="4">
        <f>(A9-A13)/A13</f>
        <v>0.21550625</v>
      </c>
      <c r="C9" s="5">
        <f t="shared" si="1"/>
        <v>164.025</v>
      </c>
      <c r="H9" s="3"/>
      <c r="J9" s="1"/>
    </row>
    <row r="10" customFormat="1" spans="1:10">
      <c r="A10" s="3">
        <f t="shared" si="0"/>
        <v>7021.3476587625</v>
      </c>
      <c r="B10" s="4">
        <f>(A10-A13)/A13</f>
        <v>0.157625</v>
      </c>
      <c r="C10" s="5">
        <f t="shared" si="1"/>
        <v>182.25</v>
      </c>
      <c r="H10" s="3"/>
      <c r="J10" s="1"/>
    </row>
    <row r="11" customFormat="1" spans="1:10">
      <c r="A11" s="3">
        <f t="shared" si="0"/>
        <v>6686.99777025</v>
      </c>
      <c r="B11" s="4">
        <f>(A11-A13)/A13</f>
        <v>0.1025</v>
      </c>
      <c r="C11" s="5">
        <f t="shared" si="1"/>
        <v>202.5</v>
      </c>
      <c r="H11" s="3"/>
      <c r="J11" s="1"/>
    </row>
    <row r="12" customFormat="1" spans="1:23">
      <c r="A12" s="3">
        <f t="shared" si="0"/>
        <v>6368.569305</v>
      </c>
      <c r="B12" s="4">
        <f>(A12-A13)/A13</f>
        <v>0.0500000000000001</v>
      </c>
      <c r="C12" s="5">
        <f t="shared" si="1"/>
        <v>225</v>
      </c>
      <c r="D12" s="5"/>
      <c r="E12" s="5"/>
      <c r="F12" s="5"/>
      <c r="G12" s="5"/>
      <c r="H12" s="5"/>
      <c r="I12" s="5"/>
      <c r="J12" s="1"/>
      <c r="T12" s="5"/>
      <c r="U12" s="5"/>
      <c r="V12" s="5"/>
      <c r="W12" s="5"/>
    </row>
    <row r="13" customFormat="1" spans="1:23">
      <c r="A13" s="21">
        <v>6065.3041</v>
      </c>
      <c r="B13">
        <f>(A13-A13)/A13</f>
        <v>0</v>
      </c>
      <c r="C13" s="7">
        <v>250</v>
      </c>
      <c r="D13" s="3"/>
      <c r="E13" s="3"/>
      <c r="F13" s="3"/>
      <c r="G13" s="3"/>
      <c r="H13" s="3"/>
      <c r="I13" s="3"/>
      <c r="J13" s="1"/>
      <c r="T13" s="3"/>
      <c r="U13" s="3"/>
      <c r="V13" s="3"/>
      <c r="W13" s="3"/>
    </row>
    <row r="14" customFormat="1" spans="1:10">
      <c r="A14" s="3">
        <f>A13*0.95</f>
        <v>5762.038895</v>
      </c>
      <c r="B14" s="4">
        <f>(A14-A13)/A13</f>
        <v>-0.0500000000000001</v>
      </c>
      <c r="C14" s="5">
        <f>C13*1.1</f>
        <v>275</v>
      </c>
      <c r="J14" s="13"/>
    </row>
    <row r="15" customFormat="1" spans="1:10">
      <c r="A15" s="3">
        <f>A13*0.9</f>
        <v>5458.77369</v>
      </c>
      <c r="B15" s="4">
        <f>(A15-A13)/A13</f>
        <v>-0.1</v>
      </c>
      <c r="C15" s="5">
        <f>C13*1.2</f>
        <v>300</v>
      </c>
      <c r="H15" s="3"/>
      <c r="J15" s="1"/>
    </row>
    <row r="16" customFormat="1" spans="1:10">
      <c r="A16" s="3">
        <f>A13*0.85</f>
        <v>5155.508485</v>
      </c>
      <c r="B16" s="4">
        <f>(A16-A13)/A13</f>
        <v>-0.15</v>
      </c>
      <c r="C16" s="5">
        <f>C13*1.3</f>
        <v>325</v>
      </c>
      <c r="H16" s="3"/>
      <c r="J16" s="1"/>
    </row>
    <row r="17" customFormat="1" spans="1:10">
      <c r="A17" s="3">
        <f>A13*0.8</f>
        <v>4852.24328</v>
      </c>
      <c r="B17" s="4">
        <f>(A17-A13)/A13</f>
        <v>-0.2</v>
      </c>
      <c r="C17" s="5">
        <f>C13*1.4</f>
        <v>350</v>
      </c>
      <c r="H17" s="3"/>
      <c r="J17" s="1"/>
    </row>
    <row r="18" customFormat="1" spans="1:10">
      <c r="A18" s="3">
        <f>A13*0.75</f>
        <v>4548.978075</v>
      </c>
      <c r="B18" s="4">
        <f>(A18-A13)/A13</f>
        <v>-0.25</v>
      </c>
      <c r="C18" s="5">
        <f>C13*1.5</f>
        <v>375</v>
      </c>
      <c r="H18" s="3"/>
      <c r="J18" s="1"/>
    </row>
    <row r="19" customFormat="1" spans="1:10">
      <c r="A19" s="3">
        <f>A13*0.7</f>
        <v>4245.71287</v>
      </c>
      <c r="B19" s="4">
        <f>(A19-A13)/A13</f>
        <v>-0.3</v>
      </c>
      <c r="C19" s="5">
        <f>C13*1.6</f>
        <v>400</v>
      </c>
      <c r="H19" s="3"/>
      <c r="J19" s="1"/>
    </row>
    <row r="20" spans="1:3">
      <c r="A20" s="3">
        <f>A13*0.65</f>
        <v>3942.447665</v>
      </c>
      <c r="B20" s="4">
        <f>(A20-A13)/A13</f>
        <v>-0.35</v>
      </c>
      <c r="C20" s="5">
        <f>C13*1.7</f>
        <v>425</v>
      </c>
    </row>
    <row r="21" spans="1:3">
      <c r="A21" s="3">
        <f>A13*0.6</f>
        <v>3639.18246</v>
      </c>
      <c r="B21" s="4">
        <f>(A21-A13)/A13</f>
        <v>-0.4</v>
      </c>
      <c r="C21" s="5">
        <f>C13*1.8</f>
        <v>450</v>
      </c>
    </row>
    <row r="22" spans="1:3">
      <c r="A22" s="3">
        <f>A13*0.55</f>
        <v>3335.917255</v>
      </c>
      <c r="B22" s="4">
        <f>(A22-A13)/A13</f>
        <v>-0.45</v>
      </c>
      <c r="C22" s="5">
        <f>C13*1.9</f>
        <v>475</v>
      </c>
    </row>
    <row r="23" spans="1:3">
      <c r="A23" s="3">
        <f>A13*0.5</f>
        <v>3032.65205</v>
      </c>
      <c r="B23" s="4">
        <f>(A23-A13)/A13</f>
        <v>-0.5</v>
      </c>
      <c r="C23" s="5">
        <f>C13*2</f>
        <v>500</v>
      </c>
    </row>
    <row r="24" spans="1:3">
      <c r="A24" s="3">
        <f>A13*0.45</f>
        <v>2729.386845</v>
      </c>
      <c r="B24" s="4">
        <f>(A24-A13)/A13</f>
        <v>-0.55</v>
      </c>
      <c r="C24" s="5">
        <f>C13*2.1</f>
        <v>525</v>
      </c>
    </row>
    <row r="25" spans="1:3">
      <c r="A25" s="3">
        <f>A13*0.4</f>
        <v>2426.12164</v>
      </c>
      <c r="B25" s="4">
        <f>(A25-A13)/A13</f>
        <v>-0.6</v>
      </c>
      <c r="C25" s="5">
        <f>C13*2.2</f>
        <v>550</v>
      </c>
    </row>
    <row r="26" spans="1:3">
      <c r="A26" s="3">
        <f>A13*0.35</f>
        <v>2122.856435</v>
      </c>
      <c r="B26" s="4">
        <f>(A26-A13)/A13</f>
        <v>-0.65</v>
      </c>
      <c r="C26" s="5">
        <f>C13*2.3</f>
        <v>575</v>
      </c>
    </row>
    <row r="30" spans="1:6">
      <c r="A30" s="21">
        <v>6065.3041</v>
      </c>
      <c r="B30">
        <f>(A30-A30)/A30</f>
        <v>0</v>
      </c>
      <c r="C30" s="7">
        <v>4089.7624</v>
      </c>
      <c r="D30" s="8">
        <f>C30</f>
        <v>4089.7624</v>
      </c>
      <c r="E30" s="10">
        <v>0</v>
      </c>
      <c r="F30" s="11">
        <v>0</v>
      </c>
    </row>
    <row r="31" spans="1:6">
      <c r="A31" s="3">
        <f>A30*0.95</f>
        <v>5762.038895</v>
      </c>
      <c r="B31" s="4">
        <f>(A31-A30)/A30</f>
        <v>-0.0500000000000001</v>
      </c>
      <c r="C31" s="5">
        <f>C30*1.1</f>
        <v>4498.73864</v>
      </c>
      <c r="E31" s="10">
        <f>(A31-A30)/A30*C30</f>
        <v>-204.48812</v>
      </c>
      <c r="F31" s="11">
        <f>E31/SUM(C30:C31)</f>
        <v>-0.0238095238095239</v>
      </c>
    </row>
    <row r="32" spans="1:6">
      <c r="A32" s="3">
        <f>A30*0.9</f>
        <v>5458.77369</v>
      </c>
      <c r="B32" s="4">
        <f>(A32-A30)/A30</f>
        <v>-0.1</v>
      </c>
      <c r="C32" s="5">
        <f>C30*1.2</f>
        <v>4907.71488</v>
      </c>
      <c r="E32" s="10">
        <f>(A32-A30)/A30*C30+(A32-A31)/A31*C31</f>
        <v>-645.751957894737</v>
      </c>
      <c r="F32" s="11">
        <f>E32/SUM(C30:C32)</f>
        <v>-0.0478468899521531</v>
      </c>
    </row>
    <row r="33" spans="1:6">
      <c r="A33" s="3">
        <f>A30*0.85</f>
        <v>5155.508485</v>
      </c>
      <c r="B33" s="4">
        <f>(A33-A30)/A30</f>
        <v>-0.15</v>
      </c>
      <c r="C33" s="5">
        <f>C30*1.3</f>
        <v>5316.69112</v>
      </c>
      <c r="E33" s="10">
        <f>(A33-A30)/A30*C30+(A33-A31)/A31*C31+(A33-A32)/A32*C32</f>
        <v>-1359.66662245614</v>
      </c>
      <c r="F33" s="11">
        <f>E33/SUM(C30:C33)</f>
        <v>-0.0722730739893211</v>
      </c>
    </row>
    <row r="34" spans="1:6">
      <c r="A34" s="3">
        <f>A30*0.8</f>
        <v>4852.24328</v>
      </c>
      <c r="B34" s="4">
        <f>(A34-A30)/A30</f>
        <v>-0.2</v>
      </c>
      <c r="C34" s="5">
        <f>C30*1.4</f>
        <v>5725.66736</v>
      </c>
      <c r="E34" s="10">
        <f>(A34-A30)/A30*C30+(A34-A31)/A31*C31+(A34-A32)/A32*C32+(A34-A33)/A33*C33</f>
        <v>-2386.32782348813</v>
      </c>
      <c r="F34" s="11">
        <f>E34/SUM(C30:C34)</f>
        <v>-0.0972480220158239</v>
      </c>
    </row>
    <row r="35" spans="1:6">
      <c r="A35" s="3">
        <f>A30*0.75</f>
        <v>4548.978075</v>
      </c>
      <c r="B35" s="4">
        <f>(A35-A30)/A30</f>
        <v>-0.25</v>
      </c>
      <c r="C35" s="5">
        <f>C30*1.5</f>
        <v>6134.6436</v>
      </c>
      <c r="E35" s="10">
        <f>(A35-A30)/A30*C30+(A35-A31)/A31*C31+(A35-A32)/A32*C32+(A35-A33)/A33*C33+(A35-A34)/A34*C34</f>
        <v>-3770.84323452012</v>
      </c>
      <c r="F35" s="11">
        <f>E35/SUM(C30:C35)</f>
        <v>-0.122936016511868</v>
      </c>
    </row>
    <row r="36" spans="1:6">
      <c r="A36" s="3">
        <f>A30*0.7</f>
        <v>4245.71287</v>
      </c>
      <c r="B36" s="17">
        <f>(A36-A30)/A30</f>
        <v>-0.3</v>
      </c>
      <c r="C36" s="5">
        <f>C30*1.6</f>
        <v>6543.61984</v>
      </c>
      <c r="E36" s="10">
        <f>(A36-A30)/A30*C30+(A36-A31)/A31*C31+(A36-A32)/A32*C32+(A36-A33)/A33*C33+(A36-A34)/A34*C34+(A36-A35)/A35*C35</f>
        <v>-5564.33488555211</v>
      </c>
      <c r="F36" s="11">
        <f>E36/SUM(C30:C36)</f>
        <v>-0.149511221492646</v>
      </c>
    </row>
    <row r="37" spans="1:6">
      <c r="A37" s="3">
        <f>A30*0.65</f>
        <v>3942.447665</v>
      </c>
      <c r="B37" s="17">
        <f>(A37-A30)/A30</f>
        <v>-0.35</v>
      </c>
      <c r="C37" s="5">
        <f>C30*1.7</f>
        <v>6952.59608</v>
      </c>
      <c r="E37" s="10">
        <f>(A37-A30)/A30*C30+(A37-A31)/A31*C31+(A37-A32)/A32*C32+(A37-A33)/A33*C33+(A37-A34)/A34*C34+(A37-A35)/A35*C35+(A37-A36)/A36*C36</f>
        <v>-7825.22795372696</v>
      </c>
      <c r="F37" s="11">
        <f>E37/SUM(C30:C37)</f>
        <v>-0.177163872371561</v>
      </c>
    </row>
    <row r="38" spans="1:6">
      <c r="A38" s="3">
        <f>A30*0.6</f>
        <v>3639.18246</v>
      </c>
      <c r="B38" s="17">
        <f>(A38-A30)/A30</f>
        <v>-0.4</v>
      </c>
      <c r="C38" s="5">
        <f>C30*1.8</f>
        <v>7361.57232</v>
      </c>
      <c r="E38" s="10">
        <f>(A38-A30)/A30*C30+(A38-A31)/A31*C31+(A38-A32)/A32*C32+(A38-A33)/A33*C33+(A38-A34)/A34*C34+(A38-A35)/A35*C35+(A38-A36)/A36*C36+(A38-A37)/A37*C37</f>
        <v>-10620.9361049787</v>
      </c>
      <c r="F38" s="11">
        <f>E38/SUM(C30:C38)</f>
        <v>-0.206107679239037</v>
      </c>
    </row>
    <row r="39" spans="1:6">
      <c r="A39" s="3">
        <f>A30*0.55</f>
        <v>3335.917255</v>
      </c>
      <c r="B39" s="17">
        <f>(A39-A30)/A30</f>
        <v>-0.45</v>
      </c>
      <c r="C39" s="5">
        <f>C30*1.9</f>
        <v>7770.54856</v>
      </c>
      <c r="E39" s="10">
        <f>(A39-A30)/A30*C30+(A39-A31)/A31*C31+(A39-A32)/A32*C32+(A39-A33)/A33*C33+(A39-A34)/A34*C34+(A39-A35)/A35*C35+(A39-A36)/A36*C36+(A39-A37)/A37*C37+(A39-A38)/A38*C38</f>
        <v>-14030.1086162305</v>
      </c>
      <c r="F39" s="11">
        <f>E39/SUM(C30:C39)</f>
        <v>-0.236589220359371</v>
      </c>
    </row>
    <row r="40" spans="5:6">
      <c r="E40" s="20"/>
      <c r="F40" s="22"/>
    </row>
    <row r="41" spans="3:4">
      <c r="C41" s="9">
        <f>SUM(C30:C39)</f>
        <v>59301.5548</v>
      </c>
      <c r="D41" s="8">
        <f>SUM(D30:D39)</f>
        <v>4089.7624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1"/>
  <sheetViews>
    <sheetView topLeftCell="A19" workbookViewId="0">
      <selection activeCell="H29" sqref="H29"/>
    </sheetView>
  </sheetViews>
  <sheetFormatPr defaultColWidth="9" defaultRowHeight="17.6"/>
  <cols>
    <col min="1" max="2" width="15.7767857142857" customWidth="1"/>
    <col min="3" max="3" width="21.1339285714286" customWidth="1"/>
    <col min="4" max="4" width="17.7053571428571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5.9196428571429" style="1" customWidth="1"/>
    <col min="12" max="12" width="13.0892857142857" customWidth="1"/>
    <col min="13" max="21" width="10.7857142857143" customWidth="1"/>
    <col min="22" max="22" width="13" customWidth="1"/>
    <col min="23" max="23" width="10.7857142857143" customWidth="1"/>
    <col min="24" max="24" width="12.6517857142857" customWidth="1"/>
    <col min="25" max="25" width="17.5625" customWidth="1"/>
  </cols>
  <sheetData>
    <row r="1" customFormat="1" spans="2:11">
      <c r="B1" s="2"/>
      <c r="D1" s="2">
        <v>43940</v>
      </c>
      <c r="K1" s="1"/>
    </row>
    <row r="2" customFormat="1" spans="4:22">
      <c r="D2" s="15" t="s">
        <v>31</v>
      </c>
      <c r="K2" s="12"/>
      <c r="L2" s="5"/>
      <c r="M2" s="5"/>
      <c r="N2" s="5"/>
      <c r="O2" s="5"/>
      <c r="P2" s="5"/>
      <c r="Q2" s="5"/>
      <c r="R2" s="5"/>
      <c r="S2" s="5"/>
      <c r="T2" s="5"/>
      <c r="V2" s="14"/>
    </row>
    <row r="3" customFormat="1" spans="4:20">
      <c r="D3" s="15" t="s">
        <v>32</v>
      </c>
      <c r="K3" s="1"/>
      <c r="L3" s="3"/>
      <c r="M3" s="3"/>
      <c r="N3" s="3"/>
      <c r="O3" s="3"/>
      <c r="P3" s="3"/>
      <c r="Q3" s="3"/>
      <c r="R3" s="3"/>
      <c r="S3" s="3"/>
      <c r="T3" s="3"/>
    </row>
    <row r="4" customFormat="1" spans="11:11">
      <c r="K4" s="1"/>
    </row>
    <row r="5" customFormat="1" spans="1:24">
      <c r="A5" s="3">
        <f t="shared" ref="A5:A12" si="0">A6*105%</f>
        <v>1069.55954486778</v>
      </c>
      <c r="B5" s="4">
        <f>(A5-A13)/A13</f>
        <v>0.477455443789063</v>
      </c>
      <c r="C5" s="5">
        <f t="shared" ref="C5:C12" si="1">C6*0.9</f>
        <v>107.6168025</v>
      </c>
      <c r="D5" s="5"/>
      <c r="E5" s="5"/>
      <c r="F5" s="5"/>
      <c r="G5" s="5"/>
      <c r="H5" s="5"/>
      <c r="I5" s="5"/>
      <c r="J5" s="5"/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1" spans="1:24">
      <c r="A6" s="3">
        <f t="shared" si="0"/>
        <v>1018.62813796931</v>
      </c>
      <c r="B6" s="4">
        <f>(A6-A13)/A13</f>
        <v>0.40710042265625</v>
      </c>
      <c r="C6" s="5">
        <f t="shared" si="1"/>
        <v>119.574225</v>
      </c>
      <c r="D6" s="3"/>
      <c r="E6" s="3"/>
      <c r="F6" s="3"/>
      <c r="G6" s="3"/>
      <c r="H6" s="3"/>
      <c r="I6" s="3"/>
      <c r="J6" s="3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1" spans="1:11">
      <c r="A7" s="3">
        <f t="shared" si="0"/>
        <v>970.12203616125</v>
      </c>
      <c r="B7" s="4">
        <f>(A7-A13)/A13</f>
        <v>0.340095640625</v>
      </c>
      <c r="C7" s="5">
        <f t="shared" si="1"/>
        <v>132.86025</v>
      </c>
      <c r="K7" s="13"/>
    </row>
    <row r="8" customFormat="1" spans="1:11">
      <c r="A8" s="3">
        <f t="shared" si="0"/>
        <v>923.925748725</v>
      </c>
      <c r="B8" s="4">
        <f>(A8-A13)/A13</f>
        <v>0.2762815625</v>
      </c>
      <c r="C8" s="5">
        <f t="shared" si="1"/>
        <v>147.6225</v>
      </c>
      <c r="I8" s="3"/>
      <c r="K8" s="1"/>
    </row>
    <row r="9" customFormat="1" spans="1:11">
      <c r="A9" s="3">
        <f t="shared" si="0"/>
        <v>879.9292845</v>
      </c>
      <c r="B9" s="4">
        <f>(A9-A13)/A13</f>
        <v>0.21550625</v>
      </c>
      <c r="C9" s="5">
        <f t="shared" si="1"/>
        <v>164.025</v>
      </c>
      <c r="I9" s="3"/>
      <c r="K9" s="1"/>
    </row>
    <row r="10" customFormat="1" spans="1:11">
      <c r="A10" s="3">
        <f t="shared" si="0"/>
        <v>838.02789</v>
      </c>
      <c r="B10" s="4">
        <f>(A10-A13)/A13</f>
        <v>0.157625</v>
      </c>
      <c r="C10" s="5">
        <f t="shared" si="1"/>
        <v>182.25</v>
      </c>
      <c r="I10" s="3"/>
      <c r="K10" s="1"/>
    </row>
    <row r="11" customFormat="1" spans="1:11">
      <c r="A11" s="3">
        <f t="shared" si="0"/>
        <v>798.1218</v>
      </c>
      <c r="B11" s="4">
        <f>(A11-A13)/A13</f>
        <v>0.1025</v>
      </c>
      <c r="C11" s="5">
        <f t="shared" si="1"/>
        <v>202.5</v>
      </c>
      <c r="I11" s="3"/>
      <c r="K11" s="1"/>
    </row>
    <row r="12" customFormat="1" spans="1:24">
      <c r="A12" s="3">
        <f t="shared" si="0"/>
        <v>760.116</v>
      </c>
      <c r="B12" s="4">
        <f>(A12-A13)/A13</f>
        <v>0.05</v>
      </c>
      <c r="C12" s="5">
        <f t="shared" si="1"/>
        <v>225</v>
      </c>
      <c r="D12" s="5"/>
      <c r="E12" s="5"/>
      <c r="F12" s="5"/>
      <c r="G12" s="5"/>
      <c r="H12" s="5"/>
      <c r="I12" s="5"/>
      <c r="J12" s="5"/>
      <c r="K12" s="1"/>
      <c r="U12" s="5"/>
      <c r="V12" s="5"/>
      <c r="W12" s="5"/>
      <c r="X12" s="5"/>
    </row>
    <row r="13" customFormat="1" spans="1:24">
      <c r="A13" s="6">
        <v>723.92</v>
      </c>
      <c r="B13">
        <f>(A13-A13)/A13</f>
        <v>0</v>
      </c>
      <c r="C13" s="7">
        <v>250</v>
      </c>
      <c r="D13" s="3"/>
      <c r="E13" s="3"/>
      <c r="F13" s="3"/>
      <c r="G13" s="3"/>
      <c r="H13" s="3"/>
      <c r="I13" s="3"/>
      <c r="J13" s="3"/>
      <c r="K13" s="1"/>
      <c r="U13" s="3"/>
      <c r="V13" s="3"/>
      <c r="W13" s="3"/>
      <c r="X13" s="3"/>
    </row>
    <row r="14" customFormat="1" spans="1:11">
      <c r="A14" s="3">
        <f>A13*0.95</f>
        <v>687.724</v>
      </c>
      <c r="B14" s="4">
        <f>(A14-A13)/A13</f>
        <v>-0.05</v>
      </c>
      <c r="C14" s="5">
        <f>C13*1.1</f>
        <v>275</v>
      </c>
      <c r="K14" s="13"/>
    </row>
    <row r="15" customFormat="1" spans="1:11">
      <c r="A15" s="3">
        <f>A13*0.9</f>
        <v>651.528</v>
      </c>
      <c r="B15" s="4">
        <f>(A15-A13)/A13</f>
        <v>-0.0999999999999999</v>
      </c>
      <c r="C15" s="5">
        <f>C13*1.2</f>
        <v>300</v>
      </c>
      <c r="I15" s="3"/>
      <c r="K15" s="1"/>
    </row>
    <row r="16" customFormat="1" spans="1:11">
      <c r="A16" s="3">
        <f>A13*0.85</f>
        <v>615.332</v>
      </c>
      <c r="B16" s="4">
        <f>(A16-A13)/A13</f>
        <v>-0.15</v>
      </c>
      <c r="C16" s="5">
        <f>C13*1.3</f>
        <v>325</v>
      </c>
      <c r="I16" s="3"/>
      <c r="K16" s="1"/>
    </row>
    <row r="17" customFormat="1" spans="1:11">
      <c r="A17" s="3">
        <f>A13*0.8</f>
        <v>579.136</v>
      </c>
      <c r="B17" s="4">
        <f>(A17-A13)/A13</f>
        <v>-0.2</v>
      </c>
      <c r="C17" s="5">
        <f>C13*1.4</f>
        <v>350</v>
      </c>
      <c r="I17" s="3"/>
      <c r="K17" s="1"/>
    </row>
    <row r="18" customFormat="1" spans="1:11">
      <c r="A18" s="3">
        <f>A13*0.75</f>
        <v>542.94</v>
      </c>
      <c r="B18" s="4">
        <f>(A18-A13)/A13</f>
        <v>-0.25</v>
      </c>
      <c r="C18" s="5">
        <f>C13*1.5</f>
        <v>375</v>
      </c>
      <c r="I18" s="3"/>
      <c r="K18" s="1"/>
    </row>
    <row r="19" customFormat="1" spans="1:11">
      <c r="A19" s="3">
        <f>A13*0.7</f>
        <v>506.744</v>
      </c>
      <c r="B19" s="4">
        <f>(A19-A13)/A13</f>
        <v>-0.3</v>
      </c>
      <c r="C19" s="5">
        <f>C13*1.6</f>
        <v>400</v>
      </c>
      <c r="I19" s="3"/>
      <c r="K19" s="1"/>
    </row>
    <row r="20" spans="1:3">
      <c r="A20" s="3">
        <f>A13*0.65</f>
        <v>470.548</v>
      </c>
      <c r="B20" s="4">
        <f>(A20-A13)/A13</f>
        <v>-0.35</v>
      </c>
      <c r="C20" s="5">
        <f>C13*1.7</f>
        <v>425</v>
      </c>
    </row>
    <row r="21" spans="1:3">
      <c r="A21" s="3">
        <f>A13*0.6</f>
        <v>434.352</v>
      </c>
      <c r="B21" s="4">
        <f>(A21-A13)/A13</f>
        <v>-0.4</v>
      </c>
      <c r="C21" s="5">
        <f>C13*1.8</f>
        <v>450</v>
      </c>
    </row>
    <row r="22" spans="1:3">
      <c r="A22" s="3">
        <f>A13*0.55</f>
        <v>398.156</v>
      </c>
      <c r="B22" s="4">
        <f>(A22-A13)/A13</f>
        <v>-0.45</v>
      </c>
      <c r="C22" s="5">
        <f>C13*1.9</f>
        <v>475</v>
      </c>
    </row>
    <row r="23" spans="1:3">
      <c r="A23" s="3">
        <f>A13*0.5</f>
        <v>361.96</v>
      </c>
      <c r="B23" s="4">
        <f>(A23-A13)/A13</f>
        <v>-0.5</v>
      </c>
      <c r="C23" s="5">
        <f>C13*2</f>
        <v>500</v>
      </c>
    </row>
    <row r="24" spans="1:3">
      <c r="A24" s="3">
        <f>A13*0.45</f>
        <v>325.764</v>
      </c>
      <c r="B24" s="4">
        <f>(A24-A13)/A13</f>
        <v>-0.55</v>
      </c>
      <c r="C24" s="5">
        <f>C13*2.1</f>
        <v>525</v>
      </c>
    </row>
    <row r="25" spans="1:3">
      <c r="A25" s="3">
        <f>A13*0.4</f>
        <v>289.568</v>
      </c>
      <c r="B25" s="4">
        <f>(A25-A13)/A13</f>
        <v>-0.6</v>
      </c>
      <c r="C25" s="5">
        <f>C13*2.2</f>
        <v>550</v>
      </c>
    </row>
    <row r="26" spans="1:3">
      <c r="A26" s="3">
        <f>A13*0.35</f>
        <v>253.372</v>
      </c>
      <c r="B26" s="4">
        <f>(A26-A13)/A13</f>
        <v>-0.65</v>
      </c>
      <c r="C26" s="5">
        <f>C13*2.3</f>
        <v>575</v>
      </c>
    </row>
    <row r="30" spans="1:6">
      <c r="A30" s="6">
        <v>747.45</v>
      </c>
      <c r="B30">
        <f>(A30-A30)/A30</f>
        <v>0</v>
      </c>
      <c r="C30" s="7">
        <v>1000</v>
      </c>
      <c r="D30" s="8"/>
      <c r="E30" s="10">
        <v>0</v>
      </c>
      <c r="F30" s="11">
        <v>0</v>
      </c>
    </row>
    <row r="31" spans="1:6">
      <c r="A31" s="3">
        <f>A30*0.95</f>
        <v>710.0775</v>
      </c>
      <c r="B31" s="4">
        <f>(A31-A30)/A30</f>
        <v>-0.0500000000000001</v>
      </c>
      <c r="C31" s="7">
        <f t="shared" ref="C31:C39" si="2">C30*1.1</f>
        <v>1100</v>
      </c>
      <c r="D31" s="8"/>
      <c r="E31" s="10">
        <f>(A31-A30)/A30*C30</f>
        <v>-50.0000000000001</v>
      </c>
      <c r="F31" s="11">
        <f>E31/SUM(C30:C31)</f>
        <v>-0.0238095238095238</v>
      </c>
    </row>
    <row r="32" spans="1:6">
      <c r="A32" s="3">
        <f>A30*0.9</f>
        <v>672.705</v>
      </c>
      <c r="B32" s="4">
        <f>(A32-A30)/A30</f>
        <v>-0.1</v>
      </c>
      <c r="C32" s="5">
        <f t="shared" si="2"/>
        <v>1210</v>
      </c>
      <c r="D32" s="20"/>
      <c r="E32" s="10">
        <f>(A32-A30)/A30*C30+(A32-A31)/A31*C31</f>
        <v>-157.894736842105</v>
      </c>
      <c r="F32" s="11">
        <f>E32/SUM(C30:C32)</f>
        <v>-0.0477023374145333</v>
      </c>
    </row>
    <row r="33" spans="1:6">
      <c r="A33" s="3">
        <f>A30*0.85</f>
        <v>635.3325</v>
      </c>
      <c r="B33" s="4">
        <f>(A33-A30)/A30</f>
        <v>-0.15</v>
      </c>
      <c r="C33" s="5">
        <f t="shared" si="2"/>
        <v>1331</v>
      </c>
      <c r="D33" s="20"/>
      <c r="E33" s="10">
        <f>(A33-A30)/A30*C30+(A33-A31)/A31*C31+(A33-A32)/A32*C32</f>
        <v>-333.011695906433</v>
      </c>
      <c r="F33" s="11">
        <f>E33/SUM(C30:C33)</f>
        <v>-0.0717542977604898</v>
      </c>
    </row>
    <row r="34" spans="1:6">
      <c r="A34" s="3">
        <f>A30*0.8</f>
        <v>597.96</v>
      </c>
      <c r="B34" s="4">
        <f>(A34-A30)/A30</f>
        <v>-0.2</v>
      </c>
      <c r="C34" s="5">
        <f t="shared" si="2"/>
        <v>1464.1</v>
      </c>
      <c r="D34" s="20"/>
      <c r="E34" s="10">
        <f>(A34-A30)/A30*C30+(A34-A31)/A31*C31+(A34-A32)/A32*C32+(A34-A33)/A33*C33</f>
        <v>-586.422772617819</v>
      </c>
      <c r="F34" s="11">
        <f>E34/SUM(C30:C34)</f>
        <v>-0.0960545728354685</v>
      </c>
    </row>
    <row r="35" spans="1:6">
      <c r="A35" s="3">
        <f>A30*0.75</f>
        <v>560.5875</v>
      </c>
      <c r="B35" s="4">
        <f>(A35-A30)/A30</f>
        <v>-0.25</v>
      </c>
      <c r="C35" s="5">
        <f t="shared" si="2"/>
        <v>1610.51</v>
      </c>
      <c r="D35" s="20"/>
      <c r="E35" s="10">
        <f>(A35-A30)/A30*C30+(A35-A31)/A31*C31+(A35-A32)/A32*C32+(A35-A33)/A33*C33+(A35-A34)/A34*C34</f>
        <v>-931.340099329206</v>
      </c>
      <c r="F35" s="11">
        <f>E35/SUM(C30:C35)</f>
        <v>-0.120708550500765</v>
      </c>
    </row>
    <row r="36" spans="1:6">
      <c r="A36" s="3">
        <f>A30*0.7</f>
        <v>523.215</v>
      </c>
      <c r="B36" s="4">
        <f>(A36-A30)/A30</f>
        <v>-0.3</v>
      </c>
      <c r="C36" s="5">
        <f t="shared" si="2"/>
        <v>1771.561</v>
      </c>
      <c r="D36" s="20"/>
      <c r="E36" s="10">
        <f>(A36-A30)/A30*C30+(A36-A31)/A31*C31+(A36-A32)/A32*C32+(A36-A33)/A33*C33+(A36-A34)/A34*C34+(A36-A35)/A35*C35</f>
        <v>-1383.62475937392</v>
      </c>
      <c r="F36" s="11">
        <f>E36/SUM(C30:C36)</f>
        <v>-0.145841659159925</v>
      </c>
    </row>
    <row r="37" spans="1:6">
      <c r="A37" s="3">
        <f>A30*0.65</f>
        <v>485.8425</v>
      </c>
      <c r="B37" s="4">
        <f>(A37-A30)/A30</f>
        <v>-0.35</v>
      </c>
      <c r="C37" s="18">
        <f t="shared" si="2"/>
        <v>1948.7171</v>
      </c>
      <c r="D37" s="20"/>
      <c r="E37" s="10">
        <f>(A37-A30)/A30*C30+(A37-A31)/A31*C31+(A37-A32)/A32*C32+(A37-A33)/A33*C33+(A37-A34)/A34*C34+(A37-A35)/A35*C35+(A37-A36)/A36*C36</f>
        <v>-1962.44949084722</v>
      </c>
      <c r="F37" s="11">
        <f>E37/SUM(C30:C37)</f>
        <v>-0.171604467767328</v>
      </c>
    </row>
    <row r="38" spans="1:6">
      <c r="A38" s="3">
        <f>A30*0.6</f>
        <v>448.47</v>
      </c>
      <c r="B38" s="4">
        <f>(A38-A30)/A30</f>
        <v>-0.4</v>
      </c>
      <c r="C38" s="18">
        <f t="shared" si="2"/>
        <v>2143.58881</v>
      </c>
      <c r="D38" s="20"/>
      <c r="E38" s="10">
        <f>(A38-A30)/A30*C30+(A38-A31)/A31*C31+(A38-A32)/A32*C32+(A38-A33)/A33*C33+(A38-A34)/A34*C34+(A38-A35)/A35*C35+(A38-A36)/A36*C36+(A38-A37)/A37*C37</f>
        <v>-2691.17553770512</v>
      </c>
      <c r="F38" s="11">
        <f>E38/SUM(C30:C38)</f>
        <v>-0.198179617340291</v>
      </c>
    </row>
    <row r="39" spans="1:6">
      <c r="A39" s="3">
        <f>A30*0.55</f>
        <v>411.0975</v>
      </c>
      <c r="B39" s="4">
        <f>(A39-A30)/A30</f>
        <v>-0.45</v>
      </c>
      <c r="C39" s="18">
        <f t="shared" si="2"/>
        <v>2357.947691</v>
      </c>
      <c r="D39" s="20"/>
      <c r="E39" s="10">
        <f>(A39-A30)/A30*C30+(A39-A31)/A31*C31+(A39-A32)/A32*C32+(A39-A33)/A33*C33+(A39-A34)/A34*C34+(A39-A35)/A35*C35+(A39-A36)/A36*C36+(A39-A37)/A37*C37+(A39-A38)/A38*C38</f>
        <v>-3598.53398539636</v>
      </c>
      <c r="F39" s="11">
        <f>E39/SUM(C30:C39)</f>
        <v>-0.225791435911833</v>
      </c>
    </row>
    <row r="41" spans="3:4">
      <c r="C41" s="9">
        <f>SUM(C30:C39)</f>
        <v>15937.424601</v>
      </c>
      <c r="D41" s="8">
        <f>SUM(D30:D39)</f>
        <v>0</v>
      </c>
    </row>
  </sheetData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1"/>
  <sheetViews>
    <sheetView topLeftCell="A4" workbookViewId="0">
      <selection activeCell="D15" sqref="D15"/>
    </sheetView>
  </sheetViews>
  <sheetFormatPr defaultColWidth="9" defaultRowHeight="17.6"/>
  <cols>
    <col min="1" max="1" width="15.7767857142857" customWidth="1"/>
    <col min="2" max="2" width="11.4464285714286" customWidth="1"/>
    <col min="3" max="3" width="11.9017857142857" customWidth="1"/>
    <col min="4" max="4" width="14.2767857142857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5.9196428571429" style="1" customWidth="1"/>
    <col min="12" max="12" width="13.0892857142857" customWidth="1"/>
    <col min="13" max="21" width="10.7857142857143" customWidth="1"/>
    <col min="22" max="22" width="12.7857142857143" customWidth="1"/>
    <col min="23" max="23" width="10.7857142857143" customWidth="1"/>
    <col min="24" max="24" width="12.6517857142857" customWidth="1"/>
    <col min="25" max="25" width="17.5625" customWidth="1"/>
  </cols>
  <sheetData>
    <row r="1" spans="2:4">
      <c r="B1" s="2"/>
      <c r="D1" s="2">
        <v>43940</v>
      </c>
    </row>
    <row r="2" spans="4:22">
      <c r="D2" s="15" t="s">
        <v>33</v>
      </c>
      <c r="K2" s="12"/>
      <c r="L2" s="5"/>
      <c r="M2" s="5"/>
      <c r="N2" s="5"/>
      <c r="O2" s="5"/>
      <c r="P2" s="5"/>
      <c r="Q2" s="5"/>
      <c r="R2" s="5"/>
      <c r="S2" s="5"/>
      <c r="T2" s="5"/>
      <c r="V2" s="14"/>
    </row>
    <row r="3" spans="4:20">
      <c r="D3" s="15" t="s">
        <v>34</v>
      </c>
      <c r="L3" s="3"/>
      <c r="M3" s="3"/>
      <c r="N3" s="3"/>
      <c r="O3" s="3"/>
      <c r="P3" s="3"/>
      <c r="Q3" s="3"/>
      <c r="R3" s="3"/>
      <c r="S3" s="3"/>
      <c r="T3" s="3"/>
    </row>
    <row r="5" spans="1:24">
      <c r="A5" s="3">
        <f t="shared" ref="A5:A12" si="0">A6*105%</f>
        <v>1627.31374945259</v>
      </c>
      <c r="B5" s="4">
        <f>(A5-A13)/A13</f>
        <v>0.477455443789063</v>
      </c>
      <c r="C5" s="5">
        <f t="shared" ref="C5:C12" si="1">C6*0.9</f>
        <v>107.6168025</v>
      </c>
      <c r="D5" s="5"/>
      <c r="E5" s="5"/>
      <c r="F5" s="5"/>
      <c r="G5" s="5"/>
      <c r="H5" s="5"/>
      <c r="I5" s="5"/>
      <c r="J5" s="5"/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3">
        <f t="shared" si="0"/>
        <v>1549.82261852627</v>
      </c>
      <c r="B6" s="4">
        <f>(A6-A13)/A13</f>
        <v>0.40710042265625</v>
      </c>
      <c r="C6" s="5">
        <f t="shared" si="1"/>
        <v>119.574225</v>
      </c>
      <c r="D6" s="3"/>
      <c r="E6" s="3"/>
      <c r="F6" s="3"/>
      <c r="G6" s="3"/>
      <c r="H6" s="3"/>
      <c r="I6" s="3"/>
      <c r="J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11">
      <c r="A7" s="3">
        <f t="shared" si="0"/>
        <v>1476.02154145359</v>
      </c>
      <c r="B7" s="4">
        <f>(A7-A13)/A13</f>
        <v>0.340095640625</v>
      </c>
      <c r="C7" s="5">
        <f t="shared" si="1"/>
        <v>132.86025</v>
      </c>
      <c r="K7" s="13"/>
    </row>
    <row r="8" spans="1:9">
      <c r="A8" s="3">
        <f t="shared" si="0"/>
        <v>1405.73480138438</v>
      </c>
      <c r="B8" s="4">
        <f>(A8-A13)/A13</f>
        <v>0.2762815625</v>
      </c>
      <c r="C8" s="5">
        <f t="shared" si="1"/>
        <v>147.6225</v>
      </c>
      <c r="I8" s="3"/>
    </row>
    <row r="9" spans="1:9">
      <c r="A9" s="3">
        <f t="shared" si="0"/>
        <v>1338.7950489375</v>
      </c>
      <c r="B9" s="4">
        <f>(A9-A13)/A13</f>
        <v>0.21550625</v>
      </c>
      <c r="C9" s="5">
        <f t="shared" si="1"/>
        <v>164.025</v>
      </c>
      <c r="I9" s="3"/>
    </row>
    <row r="10" spans="1:9">
      <c r="A10" s="3">
        <f t="shared" si="0"/>
        <v>1275.04290375</v>
      </c>
      <c r="B10" s="4">
        <f>(A10-A13)/A13</f>
        <v>0.157625</v>
      </c>
      <c r="C10" s="5">
        <f t="shared" si="1"/>
        <v>182.25</v>
      </c>
      <c r="I10" s="3"/>
    </row>
    <row r="11" spans="1:9">
      <c r="A11" s="3">
        <f t="shared" si="0"/>
        <v>1214.326575</v>
      </c>
      <c r="B11" s="4">
        <f>(A11-A13)/A13</f>
        <v>0.1025</v>
      </c>
      <c r="C11" s="5">
        <f t="shared" si="1"/>
        <v>202.5</v>
      </c>
      <c r="I11" s="3"/>
    </row>
    <row r="12" spans="1:24">
      <c r="A12" s="3">
        <f t="shared" si="0"/>
        <v>1156.5015</v>
      </c>
      <c r="B12" s="4">
        <f>(A12-A13)/A13</f>
        <v>0.05</v>
      </c>
      <c r="C12" s="5">
        <f t="shared" si="1"/>
        <v>225</v>
      </c>
      <c r="I12" s="5"/>
      <c r="J12" s="5"/>
      <c r="U12" s="5"/>
      <c r="V12" s="5"/>
      <c r="W12" s="5"/>
      <c r="X12" s="5"/>
    </row>
    <row r="13" spans="1:24">
      <c r="A13" s="6">
        <v>1101.43</v>
      </c>
      <c r="B13">
        <f>(A13-A13)/A13</f>
        <v>0</v>
      </c>
      <c r="C13" s="7">
        <v>250</v>
      </c>
      <c r="I13" s="3"/>
      <c r="J13" s="3"/>
      <c r="U13" s="3"/>
      <c r="V13" s="3"/>
      <c r="W13" s="3"/>
      <c r="X13" s="3"/>
    </row>
    <row r="14" spans="1:11">
      <c r="A14" s="3">
        <f>A13*0.95</f>
        <v>1046.3585</v>
      </c>
      <c r="B14" s="4">
        <f>(A14-A13)/A13</f>
        <v>-0.05</v>
      </c>
      <c r="C14" s="5">
        <f>C13*1.1</f>
        <v>275</v>
      </c>
      <c r="K14" s="13"/>
    </row>
    <row r="15" spans="1:9">
      <c r="A15" s="3">
        <f>A13*0.9</f>
        <v>991.287</v>
      </c>
      <c r="B15" s="4">
        <f>(A15-A13)/A13</f>
        <v>-0.1</v>
      </c>
      <c r="C15" s="5">
        <f>C13*1.2</f>
        <v>300</v>
      </c>
      <c r="I15" s="3"/>
    </row>
    <row r="16" spans="1:9">
      <c r="A16" s="3">
        <f>A13*0.85</f>
        <v>936.2155</v>
      </c>
      <c r="B16" s="4">
        <f>(A16-A13)/A13</f>
        <v>-0.15</v>
      </c>
      <c r="C16" s="5">
        <f>C13*1.3</f>
        <v>325</v>
      </c>
      <c r="I16" s="3"/>
    </row>
    <row r="17" spans="1:9">
      <c r="A17" s="3">
        <f>A13*0.8</f>
        <v>881.144</v>
      </c>
      <c r="B17" s="4">
        <f t="shared" ref="B17:B19" si="2">(A17-A13)/A13</f>
        <v>-0.2</v>
      </c>
      <c r="C17" s="5">
        <f>C13*1.4</f>
        <v>350</v>
      </c>
      <c r="F17" s="5"/>
      <c r="I17" s="3"/>
    </row>
    <row r="18" spans="1:9">
      <c r="A18" s="3">
        <f>A13*0.75</f>
        <v>826.0725</v>
      </c>
      <c r="B18" s="4">
        <f>(A18-A13)/A13</f>
        <v>-0.25</v>
      </c>
      <c r="C18" s="5">
        <f>C13*1.5</f>
        <v>375</v>
      </c>
      <c r="F18" s="3"/>
      <c r="I18" s="3"/>
    </row>
    <row r="19" spans="1:9">
      <c r="A19" s="3">
        <f>A13*0.7</f>
        <v>771.001</v>
      </c>
      <c r="B19" s="4">
        <f>(A19-A13)/A13</f>
        <v>-0.3</v>
      </c>
      <c r="C19" s="5">
        <f>C13*1.6</f>
        <v>400</v>
      </c>
      <c r="I19" s="3"/>
    </row>
    <row r="20" spans="1:3">
      <c r="A20" s="3">
        <f>A13*0.65</f>
        <v>715.9295</v>
      </c>
      <c r="B20" s="4">
        <f>(A20-A13)/A13</f>
        <v>-0.35</v>
      </c>
      <c r="C20" s="5">
        <f>C13*1.7</f>
        <v>425</v>
      </c>
    </row>
    <row r="21" spans="1:3">
      <c r="A21" s="3">
        <f>A13*0.6</f>
        <v>660.858</v>
      </c>
      <c r="B21" s="4">
        <f>(A21-A13)/A13</f>
        <v>-0.4</v>
      </c>
      <c r="C21" s="5">
        <f>C13*1.8</f>
        <v>450</v>
      </c>
    </row>
    <row r="22" spans="1:3">
      <c r="A22" s="3">
        <f>A13*0.55</f>
        <v>605.7865</v>
      </c>
      <c r="B22" s="4">
        <f>(A22-A13)/A13</f>
        <v>-0.45</v>
      </c>
      <c r="C22" s="5">
        <f>C13*1.9</f>
        <v>475</v>
      </c>
    </row>
    <row r="23" spans="1:3">
      <c r="A23" s="3">
        <f>A13*0.5</f>
        <v>550.715</v>
      </c>
      <c r="B23" s="4">
        <f>(A23-A13)/A13</f>
        <v>-0.5</v>
      </c>
      <c r="C23" s="5">
        <f>C13*2</f>
        <v>500</v>
      </c>
    </row>
    <row r="24" spans="1:3">
      <c r="A24" s="3">
        <f>A13*0.45</f>
        <v>495.6435</v>
      </c>
      <c r="B24" s="4">
        <f>(A24-A13)/A13</f>
        <v>-0.55</v>
      </c>
      <c r="C24" s="5">
        <f>C13*2.1</f>
        <v>525</v>
      </c>
    </row>
    <row r="25" spans="1:3">
      <c r="A25" s="3">
        <f>A13*0.4</f>
        <v>440.572</v>
      </c>
      <c r="B25" s="4">
        <f>(A25-A13)/A13</f>
        <v>-0.6</v>
      </c>
      <c r="C25" s="5">
        <f>C13*2.2</f>
        <v>550</v>
      </c>
    </row>
    <row r="26" spans="1:7">
      <c r="A26" s="3">
        <f>A13*0.35</f>
        <v>385.5005</v>
      </c>
      <c r="B26" s="4">
        <f>(A26-A13)/A13</f>
        <v>-0.65</v>
      </c>
      <c r="C26" s="5">
        <f>C13*2.3</f>
        <v>575</v>
      </c>
      <c r="G26" t="s">
        <v>35</v>
      </c>
    </row>
    <row r="30" spans="1:6">
      <c r="A30" s="6">
        <v>1101.43</v>
      </c>
      <c r="B30">
        <f>(A30-A30)/A30</f>
        <v>0</v>
      </c>
      <c r="C30" s="7">
        <v>1600</v>
      </c>
      <c r="D30" s="8">
        <f>C30</f>
        <v>1600</v>
      </c>
      <c r="E30" s="10">
        <v>0</v>
      </c>
      <c r="F30" s="11">
        <v>0</v>
      </c>
    </row>
    <row r="31" spans="1:6">
      <c r="A31" s="3">
        <f>A30*0.95</f>
        <v>1046.3585</v>
      </c>
      <c r="B31" s="4">
        <f>(A31-A30)/A30</f>
        <v>-0.05</v>
      </c>
      <c r="C31" s="5">
        <f>C30*1.1</f>
        <v>1760</v>
      </c>
      <c r="D31" s="20"/>
      <c r="E31" s="10">
        <f>(A31-A30)/A30*C30</f>
        <v>-80</v>
      </c>
      <c r="F31" s="11">
        <f>E31/SUM(C30:C31)</f>
        <v>-0.0238095238095238</v>
      </c>
    </row>
    <row r="32" spans="1:6">
      <c r="A32" s="3">
        <f>A30*0.9</f>
        <v>991.287</v>
      </c>
      <c r="B32" s="4">
        <f>(A32-A30)/A30</f>
        <v>-0.1</v>
      </c>
      <c r="C32" s="5">
        <f>C30*1.2</f>
        <v>1920</v>
      </c>
      <c r="D32" s="20"/>
      <c r="E32" s="10">
        <f>(A32-A30)/A30*C30+(A32-A31)/A31*C31</f>
        <v>-252.631578947368</v>
      </c>
      <c r="F32" s="11">
        <f>E32/SUM(C30:C32)</f>
        <v>-0.0478468899521531</v>
      </c>
    </row>
    <row r="33" spans="1:6">
      <c r="A33" s="3">
        <f>A30*0.85</f>
        <v>936.2155</v>
      </c>
      <c r="B33" s="4">
        <f>(A33-A30)/A30</f>
        <v>-0.15</v>
      </c>
      <c r="C33" s="5">
        <f>C30*1.3</f>
        <v>2080</v>
      </c>
      <c r="D33" s="20"/>
      <c r="E33" s="10">
        <f>(A33-A30)/A30*C30+(A33-A31)/A31*C31+(A33-A32)/A32*C32</f>
        <v>-531.929824561404</v>
      </c>
      <c r="F33" s="11">
        <f>E33/SUM(C30:C33)</f>
        <v>-0.0722730739893211</v>
      </c>
    </row>
    <row r="34" spans="1:6">
      <c r="A34" s="3">
        <f>A30*0.8</f>
        <v>881.144</v>
      </c>
      <c r="B34" s="4">
        <f>(A34-A30)/A30</f>
        <v>-0.2</v>
      </c>
      <c r="C34" s="5">
        <f>C30*1.4</f>
        <v>2240</v>
      </c>
      <c r="D34" s="20"/>
      <c r="E34" s="10">
        <f>(A34-A30)/A30*C30+(A34-A31)/A31*C31+(A34-A32)/A32*C32+(A34-A33)/A33*C33</f>
        <v>-933.581011351909</v>
      </c>
      <c r="F34" s="11">
        <f>E34/SUM(C30:C34)</f>
        <v>-0.0972480220158239</v>
      </c>
    </row>
    <row r="35" spans="1:6">
      <c r="A35" s="3">
        <f>A30*0.75</f>
        <v>826.0725</v>
      </c>
      <c r="B35" s="4">
        <f>(A35-A30)/A30</f>
        <v>-0.25</v>
      </c>
      <c r="C35" s="5">
        <f>C30*1.5</f>
        <v>2400</v>
      </c>
      <c r="D35" s="20"/>
      <c r="E35" s="10">
        <f>(A35-A30)/A30*C30+(A35-A31)/A31*C31+(A35-A32)/A32*C32+(A35-A33)/A33*C33+(A35-A34)/A34*C34</f>
        <v>-1475.23219814242</v>
      </c>
      <c r="F35" s="11">
        <f>E35/SUM(C30:C35)</f>
        <v>-0.122936016511868</v>
      </c>
    </row>
    <row r="36" spans="1:6">
      <c r="A36" s="3">
        <f>A30*0.7</f>
        <v>771.001</v>
      </c>
      <c r="B36" s="4">
        <f>(A36-A30)/A30</f>
        <v>-0.3</v>
      </c>
      <c r="C36" s="5">
        <f>C30*1.6</f>
        <v>2560</v>
      </c>
      <c r="D36" s="20"/>
      <c r="E36" s="10">
        <f>(A36-A30)/A30*C30+(A36-A31)/A31*C31+(A36-A32)/A32*C32+(A36-A33)/A33*C33+(A36-A34)/A34*C34+(A36-A35)/A35*C35</f>
        <v>-2176.88338493292</v>
      </c>
      <c r="F36" s="11">
        <f>E36/SUM(C30:C36)</f>
        <v>-0.149511221492646</v>
      </c>
    </row>
    <row r="37" spans="1:6">
      <c r="A37" s="3">
        <f>A30*0.65</f>
        <v>715.9295</v>
      </c>
      <c r="B37" s="17">
        <f>(A37-A30)/A30</f>
        <v>-0.35</v>
      </c>
      <c r="C37" s="5">
        <f>C30*1.7</f>
        <v>2720</v>
      </c>
      <c r="D37" s="20"/>
      <c r="E37" s="10">
        <f>(A37-A30)/A30*C30+(A37-A31)/A31*C31+(A37-A32)/A32*C32+(A37-A33)/A33*C33+(A37-A34)/A34*C34+(A37-A35)/A35*C35+(A37-A36)/A36*C36</f>
        <v>-3061.39171458057</v>
      </c>
      <c r="F37" s="11">
        <f>E37/SUM(C30:C37)</f>
        <v>-0.177163872371561</v>
      </c>
    </row>
    <row r="38" spans="1:6">
      <c r="A38" s="3">
        <f>A30*0.6</f>
        <v>660.858</v>
      </c>
      <c r="B38" s="17">
        <f>(A38-A30)/A30</f>
        <v>-0.4</v>
      </c>
      <c r="C38" s="5">
        <f>C30*1.8</f>
        <v>2880</v>
      </c>
      <c r="D38" s="20"/>
      <c r="E38" s="10">
        <f>(A38-A30)/A30*C30+(A38-A31)/A31*C31+(A38-A32)/A32*C32+(A38-A33)/A33*C33+(A38-A34)/A34*C34+(A38-A35)/A35*C35+(A38-A36)/A36*C36+(A38-A37)/A37*C37</f>
        <v>-4155.13081345899</v>
      </c>
      <c r="F38" s="11">
        <f>E38/SUM(C30:C38)</f>
        <v>-0.206107679239037</v>
      </c>
    </row>
    <row r="39" spans="1:6">
      <c r="A39" s="3">
        <f>A30*0.55</f>
        <v>605.7865</v>
      </c>
      <c r="B39" s="17">
        <f>(A39-A30)/A30</f>
        <v>-0.45</v>
      </c>
      <c r="C39" s="5">
        <f>C30*1.9</f>
        <v>3040</v>
      </c>
      <c r="D39" s="20"/>
      <c r="E39" s="10">
        <f>(A39-A30)/A30*C30+(A39-A31)/A31*C31+(A39-A32)/A32*C32+(A39-A33)/A33*C33+(A39-A34)/A34*C34+(A39-A35)/A35*C35+(A39-A36)/A36*C36+(A39-A37)/A37*C37+(A39-A38)/A38*C38</f>
        <v>-5488.8699123374</v>
      </c>
      <c r="F39" s="11">
        <f>E39/SUM(C30:C39)</f>
        <v>-0.236589220359371</v>
      </c>
    </row>
    <row r="41" spans="3:4">
      <c r="C41" s="9">
        <f>SUM(C30:C39)</f>
        <v>23200</v>
      </c>
      <c r="D41" s="8">
        <f>SUM(D30:D39)</f>
        <v>1600</v>
      </c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1"/>
  <sheetViews>
    <sheetView topLeftCell="A17" workbookViewId="0">
      <selection activeCell="D32" sqref="D32"/>
    </sheetView>
  </sheetViews>
  <sheetFormatPr defaultColWidth="9" defaultRowHeight="17.6"/>
  <cols>
    <col min="1" max="2" width="15.7767857142857" customWidth="1"/>
    <col min="3" max="3" width="21.1339285714286" customWidth="1"/>
    <col min="4" max="4" width="12.7857142857143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5.9196428571429" style="1" customWidth="1"/>
    <col min="12" max="12" width="13.0892857142857" customWidth="1"/>
    <col min="13" max="21" width="10.7857142857143" customWidth="1"/>
    <col min="22" max="22" width="13" customWidth="1"/>
    <col min="23" max="23" width="10.7857142857143" customWidth="1"/>
    <col min="24" max="24" width="12.6517857142857" customWidth="1"/>
    <col min="25" max="25" width="17.5625" customWidth="1"/>
  </cols>
  <sheetData>
    <row r="1" customFormat="1" spans="2:11">
      <c r="B1" s="2"/>
      <c r="D1" s="2">
        <v>43940</v>
      </c>
      <c r="K1" s="1"/>
    </row>
    <row r="2" customFormat="1" spans="4:22">
      <c r="D2" s="15" t="s">
        <v>36</v>
      </c>
      <c r="K2" s="12"/>
      <c r="L2" s="5"/>
      <c r="M2" s="5"/>
      <c r="N2" s="5"/>
      <c r="O2" s="5"/>
      <c r="P2" s="5"/>
      <c r="Q2" s="5"/>
      <c r="R2" s="5"/>
      <c r="S2" s="5"/>
      <c r="T2" s="5"/>
      <c r="V2" s="14"/>
    </row>
    <row r="3" customFormat="1" spans="4:20">
      <c r="D3" s="15" t="s">
        <v>37</v>
      </c>
      <c r="K3" s="1"/>
      <c r="L3" s="3"/>
      <c r="M3" s="3"/>
      <c r="N3" s="3"/>
      <c r="O3" s="3"/>
      <c r="P3" s="3"/>
      <c r="Q3" s="3"/>
      <c r="R3" s="3"/>
      <c r="S3" s="3"/>
      <c r="T3" s="3"/>
    </row>
    <row r="4" customFormat="1" spans="11:11">
      <c r="K4" s="1"/>
    </row>
    <row r="5" customFormat="1" spans="1:24">
      <c r="A5" s="3">
        <f t="shared" ref="A5:A12" si="0">A6*105%</f>
        <v>10050.2724599396</v>
      </c>
      <c r="B5" s="4">
        <f>(A5-A13)/A13</f>
        <v>0.477455443789063</v>
      </c>
      <c r="C5" s="5">
        <f t="shared" ref="C5:C12" si="1">C6*0.9</f>
        <v>107.6168025</v>
      </c>
      <c r="D5" s="5"/>
      <c r="E5" s="5"/>
      <c r="F5" s="5"/>
      <c r="G5" s="5"/>
      <c r="H5" s="5"/>
      <c r="I5" s="5"/>
      <c r="J5" s="5"/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1" spans="1:24">
      <c r="A6" s="3">
        <f t="shared" si="0"/>
        <v>9571.68805708533</v>
      </c>
      <c r="B6" s="4">
        <f>(A6-A13)/A13</f>
        <v>0.40710042265625</v>
      </c>
      <c r="C6" s="5">
        <f t="shared" si="1"/>
        <v>119.574225</v>
      </c>
      <c r="D6" s="3"/>
      <c r="E6" s="3"/>
      <c r="F6" s="3"/>
      <c r="G6" s="3"/>
      <c r="H6" s="3"/>
      <c r="I6" s="3"/>
      <c r="J6" s="3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1" spans="1:11">
      <c r="A7" s="3">
        <f t="shared" si="0"/>
        <v>9115.89338770031</v>
      </c>
      <c r="B7" s="4">
        <f>(A7-A13)/A13</f>
        <v>0.340095640625</v>
      </c>
      <c r="C7" s="5">
        <f t="shared" si="1"/>
        <v>132.86025</v>
      </c>
      <c r="K7" s="13"/>
    </row>
    <row r="8" customFormat="1" spans="1:11">
      <c r="A8" s="3">
        <f t="shared" si="0"/>
        <v>8681.80322638125</v>
      </c>
      <c r="B8" s="4">
        <f>(A8-A13)/A13</f>
        <v>0.2762815625</v>
      </c>
      <c r="C8" s="5">
        <f t="shared" si="1"/>
        <v>147.6225</v>
      </c>
      <c r="I8" s="3"/>
      <c r="K8" s="1"/>
    </row>
    <row r="9" customFormat="1" spans="1:11">
      <c r="A9" s="3">
        <f t="shared" si="0"/>
        <v>8268.384025125</v>
      </c>
      <c r="B9" s="4">
        <f>(A9-A13)/A13</f>
        <v>0.21550625</v>
      </c>
      <c r="C9" s="5">
        <f t="shared" si="1"/>
        <v>164.025</v>
      </c>
      <c r="I9" s="3"/>
      <c r="K9" s="1"/>
    </row>
    <row r="10" customFormat="1" spans="1:11">
      <c r="A10" s="3">
        <f t="shared" si="0"/>
        <v>7874.6514525</v>
      </c>
      <c r="B10" s="4">
        <f>(A10-A13)/A13</f>
        <v>0.157625</v>
      </c>
      <c r="C10" s="5">
        <f t="shared" si="1"/>
        <v>182.25</v>
      </c>
      <c r="I10" s="3"/>
      <c r="K10" s="1"/>
    </row>
    <row r="11" customFormat="1" spans="1:11">
      <c r="A11" s="3">
        <f t="shared" si="0"/>
        <v>7499.66805</v>
      </c>
      <c r="B11" s="4">
        <f>(A11-A13)/A13</f>
        <v>0.1025</v>
      </c>
      <c r="C11" s="5">
        <f t="shared" si="1"/>
        <v>202.5</v>
      </c>
      <c r="I11" s="3"/>
      <c r="K11" s="1"/>
    </row>
    <row r="12" customFormat="1" spans="1:24">
      <c r="A12" s="3">
        <f t="shared" si="0"/>
        <v>7142.541</v>
      </c>
      <c r="B12" s="4">
        <f>(A12-A13)/A13</f>
        <v>0.05</v>
      </c>
      <c r="C12" s="5">
        <f t="shared" si="1"/>
        <v>225</v>
      </c>
      <c r="D12" s="5"/>
      <c r="E12" s="5"/>
      <c r="F12" s="5"/>
      <c r="G12" s="5"/>
      <c r="H12" s="5"/>
      <c r="I12" s="5"/>
      <c r="J12" s="5"/>
      <c r="K12" s="1"/>
      <c r="U12" s="5"/>
      <c r="V12" s="5"/>
      <c r="W12" s="5"/>
      <c r="X12" s="5"/>
    </row>
    <row r="13" customFormat="1" spans="1:24">
      <c r="A13" s="6">
        <v>6802.42</v>
      </c>
      <c r="B13">
        <f>(A13-A13)/A13</f>
        <v>0</v>
      </c>
      <c r="C13" s="7">
        <v>250</v>
      </c>
      <c r="D13" s="3"/>
      <c r="E13" s="3"/>
      <c r="F13" s="3"/>
      <c r="G13" s="3"/>
      <c r="H13" s="3"/>
      <c r="I13" s="3"/>
      <c r="J13" s="3"/>
      <c r="K13" s="1"/>
      <c r="U13" s="3"/>
      <c r="V13" s="3"/>
      <c r="W13" s="3"/>
      <c r="X13" s="3"/>
    </row>
    <row r="14" customFormat="1" spans="1:11">
      <c r="A14" s="3">
        <f>A13*0.95</f>
        <v>6462.299</v>
      </c>
      <c r="B14" s="4">
        <f>(A14-A13)/A13</f>
        <v>-0.05</v>
      </c>
      <c r="C14" s="5">
        <f>C13*1.1</f>
        <v>275</v>
      </c>
      <c r="K14" s="13"/>
    </row>
    <row r="15" customFormat="1" spans="1:11">
      <c r="A15" s="3">
        <f>A13*0.9</f>
        <v>6122.178</v>
      </c>
      <c r="B15" s="4">
        <f>(A15-A13)/A13</f>
        <v>-0.1</v>
      </c>
      <c r="C15" s="5">
        <f>C13*1.2</f>
        <v>300</v>
      </c>
      <c r="I15" s="3"/>
      <c r="K15" s="1"/>
    </row>
    <row r="16" customFormat="1" spans="1:11">
      <c r="A16" s="3">
        <f>A13*0.85</f>
        <v>5782.057</v>
      </c>
      <c r="B16" s="4">
        <f>(A16-A13)/A13</f>
        <v>-0.15</v>
      </c>
      <c r="C16" s="5">
        <f>C13*1.3</f>
        <v>325</v>
      </c>
      <c r="I16" s="3"/>
      <c r="K16" s="1"/>
    </row>
    <row r="17" customFormat="1" spans="1:11">
      <c r="A17" s="3">
        <f>A13*0.8</f>
        <v>5441.936</v>
      </c>
      <c r="B17" s="4">
        <f>(A17-A13)/A13</f>
        <v>-0.2</v>
      </c>
      <c r="C17" s="5">
        <f>C13*1.4</f>
        <v>350</v>
      </c>
      <c r="I17" s="3"/>
      <c r="K17" s="1"/>
    </row>
    <row r="18" customFormat="1" spans="1:11">
      <c r="A18" s="3">
        <f>A13*0.75</f>
        <v>5101.815</v>
      </c>
      <c r="B18" s="4">
        <f>(A18-A13)/A13</f>
        <v>-0.25</v>
      </c>
      <c r="C18" s="5">
        <f>C13*1.5</f>
        <v>375</v>
      </c>
      <c r="I18" s="3"/>
      <c r="K18" s="1"/>
    </row>
    <row r="19" customFormat="1" spans="1:11">
      <c r="A19" s="3">
        <f>A13*0.7</f>
        <v>4761.694</v>
      </c>
      <c r="B19" s="4">
        <f>(A19-A13)/A13</f>
        <v>-0.3</v>
      </c>
      <c r="C19" s="5">
        <f>C13*1.6</f>
        <v>400</v>
      </c>
      <c r="I19" s="3"/>
      <c r="K19" s="1"/>
    </row>
    <row r="20" spans="1:3">
      <c r="A20" s="3">
        <f>A13*0.65</f>
        <v>4421.573</v>
      </c>
      <c r="B20" s="4">
        <f>(A20-A13)/A13</f>
        <v>-0.35</v>
      </c>
      <c r="C20" s="5">
        <f>C13*1.7</f>
        <v>425</v>
      </c>
    </row>
    <row r="21" spans="1:3">
      <c r="A21" s="3">
        <f>A13*0.6</f>
        <v>4081.452</v>
      </c>
      <c r="B21" s="4">
        <f>(A21-A13)/A13</f>
        <v>-0.4</v>
      </c>
      <c r="C21" s="5">
        <f>C13*1.8</f>
        <v>450</v>
      </c>
    </row>
    <row r="22" spans="1:3">
      <c r="A22" s="3">
        <f>A13*0.55</f>
        <v>3741.331</v>
      </c>
      <c r="B22" s="4">
        <f>(A22-A13)/A13</f>
        <v>-0.45</v>
      </c>
      <c r="C22" s="5">
        <f>C13*1.9</f>
        <v>475</v>
      </c>
    </row>
    <row r="23" spans="1:3">
      <c r="A23" s="3">
        <f>A13*0.5</f>
        <v>3401.21</v>
      </c>
      <c r="B23" s="4">
        <f>(A23-A13)/A13</f>
        <v>-0.5</v>
      </c>
      <c r="C23" s="5">
        <f>C13*2</f>
        <v>500</v>
      </c>
    </row>
    <row r="24" spans="1:3">
      <c r="A24" s="3">
        <f>A13*0.45</f>
        <v>3061.089</v>
      </c>
      <c r="B24" s="4">
        <f>(A24-A13)/A13</f>
        <v>-0.55</v>
      </c>
      <c r="C24" s="5">
        <f>C13*2.1</f>
        <v>525</v>
      </c>
    </row>
    <row r="25" spans="1:3">
      <c r="A25" s="3">
        <f>A13*0.4</f>
        <v>2720.968</v>
      </c>
      <c r="B25" s="4">
        <f>(A25-A13)/A13</f>
        <v>-0.6</v>
      </c>
      <c r="C25" s="5">
        <f>C13*2.2</f>
        <v>550</v>
      </c>
    </row>
    <row r="26" spans="1:3">
      <c r="A26" s="3">
        <f>A13*0.35</f>
        <v>2380.847</v>
      </c>
      <c r="B26" s="4">
        <f>(A26-A13)/A13</f>
        <v>-0.65</v>
      </c>
      <c r="C26" s="5">
        <f>C13*2.3</f>
        <v>575</v>
      </c>
    </row>
    <row r="30" spans="1:6">
      <c r="A30" s="6">
        <v>6802.42</v>
      </c>
      <c r="B30">
        <f>(A30-A30)/A30</f>
        <v>0</v>
      </c>
      <c r="C30" s="7">
        <v>2400</v>
      </c>
      <c r="D30" s="8">
        <f>C30</f>
        <v>2400</v>
      </c>
      <c r="E30" s="10">
        <v>0</v>
      </c>
      <c r="F30" s="11">
        <v>0</v>
      </c>
    </row>
    <row r="31" spans="1:6">
      <c r="A31" s="3">
        <f>A30*0.95</f>
        <v>6462.299</v>
      </c>
      <c r="B31" s="4">
        <f>(A31-A30)/A30</f>
        <v>-0.05</v>
      </c>
      <c r="C31" s="5">
        <f>C30*1.1</f>
        <v>2640</v>
      </c>
      <c r="D31" s="8">
        <f>D30*1.1</f>
        <v>2640</v>
      </c>
      <c r="E31" s="10">
        <f>(A31-A30)/A30*C30</f>
        <v>-120</v>
      </c>
      <c r="F31" s="11">
        <f>E31/SUM(C30:C31)</f>
        <v>-0.0238095238095238</v>
      </c>
    </row>
    <row r="32" spans="1:6">
      <c r="A32" s="3">
        <f>A30*0.9</f>
        <v>6122.178</v>
      </c>
      <c r="B32" s="4">
        <f>(A32-A30)/A30</f>
        <v>-0.1</v>
      </c>
      <c r="C32" s="5">
        <f t="shared" ref="C32:C39" si="2">C31*1.1</f>
        <v>2904</v>
      </c>
      <c r="E32" s="10">
        <f>(A32-A30)/A30*C30+(A32-A31)/A31*C31</f>
        <v>-378.947368421053</v>
      </c>
      <c r="F32" s="11">
        <f>E32/SUM(C30:C32)</f>
        <v>-0.0477023374145333</v>
      </c>
    </row>
    <row r="33" spans="1:6">
      <c r="A33" s="3">
        <f>A30*0.85</f>
        <v>5782.057</v>
      </c>
      <c r="B33" s="4">
        <f>(A33-A30)/A30</f>
        <v>-0.15</v>
      </c>
      <c r="C33" s="5">
        <f t="shared" si="2"/>
        <v>3194.4</v>
      </c>
      <c r="E33" s="10">
        <f>(A33-A30)/A30*C30+(A33-A31)/A31*C31+(A33-A32)/A32*C32</f>
        <v>-799.228070175439</v>
      </c>
      <c r="F33" s="11">
        <f>E33/SUM(C30:C33)</f>
        <v>-0.0717542977604897</v>
      </c>
    </row>
    <row r="34" spans="1:6">
      <c r="A34" s="3">
        <f>A30*0.8</f>
        <v>5441.936</v>
      </c>
      <c r="B34" s="4">
        <f>(A34-A30)/A30</f>
        <v>-0.2</v>
      </c>
      <c r="C34" s="5">
        <f t="shared" si="2"/>
        <v>3513.84</v>
      </c>
      <c r="E34" s="10">
        <f>(A34-A30)/A30*C30+(A34-A31)/A31*C31+(A34-A32)/A32*C32+(A34-A33)/A33*C33</f>
        <v>-1407.41465428277</v>
      </c>
      <c r="F34" s="11">
        <f>E34/SUM(C30:C34)</f>
        <v>-0.0960545728354686</v>
      </c>
    </row>
    <row r="35" spans="1:6">
      <c r="A35" s="3">
        <f>A30*0.75</f>
        <v>5101.815</v>
      </c>
      <c r="B35" s="4">
        <f>(A35-A30)/A30</f>
        <v>-0.25</v>
      </c>
      <c r="C35" s="5">
        <f t="shared" si="2"/>
        <v>3865.224</v>
      </c>
      <c r="E35" s="10">
        <f>(A35-A30)/A30*C30+(A35-A31)/A31*C31+(A35-A32)/A32*C32+(A35-A33)/A33*C33+(A35-A34)/A34*C34</f>
        <v>-2235.21623839009</v>
      </c>
      <c r="F35" s="11">
        <f>E35/SUM(C30:C35)</f>
        <v>-0.120708550500765</v>
      </c>
    </row>
    <row r="36" spans="1:6">
      <c r="A36" s="3">
        <f>A30*0.7</f>
        <v>4761.694</v>
      </c>
      <c r="B36" s="4">
        <f>(A36-A30)/A30</f>
        <v>-0.3</v>
      </c>
      <c r="C36" s="5">
        <f t="shared" si="2"/>
        <v>4251.7464</v>
      </c>
      <c r="E36" s="10">
        <f>(A36-A30)/A30*C30+(A36-A31)/A31*C31+(A36-A32)/A32*C32+(A36-A33)/A33*C33+(A36-A34)/A34*C34+(A36-A35)/A35*C35</f>
        <v>-3320.69942249742</v>
      </c>
      <c r="F36" s="11">
        <f>E36/SUM(C30:C36)</f>
        <v>-0.145841659159925</v>
      </c>
    </row>
    <row r="37" spans="1:6">
      <c r="A37" s="3">
        <f>A30*0.65</f>
        <v>4421.573</v>
      </c>
      <c r="B37" s="17">
        <f>(A37-A30)/A30</f>
        <v>-0.35</v>
      </c>
      <c r="C37" s="18">
        <f t="shared" si="2"/>
        <v>4676.92104</v>
      </c>
      <c r="D37" s="19"/>
      <c r="E37" s="10">
        <f>(A37-A30)/A30*C30+(A37-A31)/A31*C31+(A37-A32)/A32*C32+(A37-A33)/A33*C33+(A37-A34)/A34*C34+(A37-A35)/A35*C35+(A37-A36)/A36*C36</f>
        <v>-4709.87877803332</v>
      </c>
      <c r="F37" s="11">
        <f>E37/SUM(C30:C37)</f>
        <v>-0.171604467767328</v>
      </c>
    </row>
    <row r="38" spans="1:6">
      <c r="A38" s="3">
        <f>A30*0.6</f>
        <v>4081.452</v>
      </c>
      <c r="B38" s="17">
        <f>(A38-A30)/A30</f>
        <v>-0.4</v>
      </c>
      <c r="C38" s="18">
        <f t="shared" si="2"/>
        <v>5144.613144</v>
      </c>
      <c r="D38" s="19"/>
      <c r="E38" s="10">
        <f>(A38-A30)/A30*C30+(A38-A31)/A31*C31+(A38-A32)/A32*C32+(A38-A33)/A33*C33+(A38-A34)/A34*C34+(A38-A35)/A35*C35+(A38-A36)/A36*C36+(A38-A37)/A37*C37</f>
        <v>-6458.82129049229</v>
      </c>
      <c r="F38" s="11">
        <f>E38/SUM(C30:C38)</f>
        <v>-0.198179617340291</v>
      </c>
    </row>
    <row r="39" spans="1:6">
      <c r="A39" s="3">
        <f>A30*0.55</f>
        <v>3741.331</v>
      </c>
      <c r="B39" s="17">
        <f>(A39-A30)/A30</f>
        <v>-0.45</v>
      </c>
      <c r="C39" s="18">
        <f t="shared" si="2"/>
        <v>5659.0744584</v>
      </c>
      <c r="D39" s="19"/>
      <c r="E39" s="10">
        <f>(A39-A30)/A30*C30+(A39-A31)/A31*C31+(A39-A32)/A32*C32+(A39-A33)/A33*C33+(A39-A34)/A34*C34+(A39-A35)/A35*C35+(A39-A36)/A36*C36+(A39-A37)/A37*C37+(A39-A38)/A38*C38</f>
        <v>-8636.48156495127</v>
      </c>
      <c r="F39" s="11">
        <f>E39/SUM(C30:C39)</f>
        <v>-0.225791435911833</v>
      </c>
    </row>
    <row r="41" spans="3:4">
      <c r="C41" s="9">
        <f>SUM(C30:C39)</f>
        <v>38249.8190424</v>
      </c>
      <c r="D41" s="8">
        <f>SUM(D30:D39)</f>
        <v>5040</v>
      </c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1"/>
  <sheetViews>
    <sheetView topLeftCell="A19" workbookViewId="0">
      <selection activeCell="E22" sqref="E22"/>
    </sheetView>
  </sheetViews>
  <sheetFormatPr defaultColWidth="9" defaultRowHeight="17.6"/>
  <cols>
    <col min="1" max="2" width="15.7767857142857" customWidth="1"/>
    <col min="3" max="3" width="21.1339285714286" customWidth="1"/>
    <col min="4" max="4" width="14.875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5.9196428571429" style="1" customWidth="1"/>
    <col min="12" max="12" width="13.0892857142857" customWidth="1"/>
    <col min="13" max="21" width="10.7857142857143" customWidth="1"/>
    <col min="22" max="22" width="13" customWidth="1"/>
    <col min="23" max="23" width="10.7857142857143" customWidth="1"/>
    <col min="24" max="24" width="12.6517857142857" customWidth="1"/>
    <col min="25" max="25" width="17.5625" customWidth="1"/>
  </cols>
  <sheetData>
    <row r="1" customFormat="1" spans="1:11">
      <c r="A1" s="2"/>
      <c r="B1" s="2"/>
      <c r="D1" s="2">
        <v>43940</v>
      </c>
      <c r="K1" s="1"/>
    </row>
    <row r="2" customFormat="1" spans="1:22">
      <c r="A2" s="15"/>
      <c r="D2" s="15" t="s">
        <v>38</v>
      </c>
      <c r="K2" s="12"/>
      <c r="L2" s="5"/>
      <c r="M2" s="5"/>
      <c r="N2" s="5"/>
      <c r="O2" s="5"/>
      <c r="P2" s="5"/>
      <c r="Q2" s="5"/>
      <c r="R2" s="5"/>
      <c r="S2" s="5"/>
      <c r="T2" s="5"/>
      <c r="V2" s="14"/>
    </row>
    <row r="3" customFormat="1" spans="1:20">
      <c r="A3" s="15"/>
      <c r="D3" s="15" t="s">
        <v>39</v>
      </c>
      <c r="K3" s="1"/>
      <c r="L3" s="3"/>
      <c r="M3" s="3"/>
      <c r="N3" s="3"/>
      <c r="O3" s="3"/>
      <c r="P3" s="3"/>
      <c r="Q3" s="3"/>
      <c r="R3" s="3"/>
      <c r="S3" s="3"/>
      <c r="T3" s="3"/>
    </row>
    <row r="4" customFormat="1" spans="11:11">
      <c r="K4" s="1"/>
    </row>
    <row r="5" customFormat="1" spans="1:24">
      <c r="A5" s="3">
        <f t="shared" ref="A5:A12" si="0">A6*105%</f>
        <v>5282.00663342697</v>
      </c>
      <c r="B5" s="4">
        <f>(A5-A13)/A13</f>
        <v>0.477455443789063</v>
      </c>
      <c r="C5" s="5">
        <f t="shared" ref="C5:C12" si="1">C6*0.9</f>
        <v>107.6168025</v>
      </c>
      <c r="D5" s="5"/>
      <c r="E5" s="5"/>
      <c r="F5" s="5"/>
      <c r="G5" s="5"/>
      <c r="H5" s="5"/>
      <c r="I5" s="5"/>
      <c r="J5" s="5"/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1" spans="1:24">
      <c r="A6" s="3">
        <f t="shared" si="0"/>
        <v>5030.48250802568</v>
      </c>
      <c r="B6" s="4">
        <f>(A6-A13)/A13</f>
        <v>0.40710042265625</v>
      </c>
      <c r="C6" s="5">
        <f t="shared" si="1"/>
        <v>119.574225</v>
      </c>
      <c r="D6" s="3"/>
      <c r="E6" s="3"/>
      <c r="F6" s="3"/>
      <c r="G6" s="3"/>
      <c r="H6" s="3"/>
      <c r="I6" s="3"/>
      <c r="J6" s="3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1" spans="1:11">
      <c r="A7" s="3">
        <f t="shared" si="0"/>
        <v>4790.93572192922</v>
      </c>
      <c r="B7" s="4">
        <f>(A7-A13)/A13</f>
        <v>0.340095640625</v>
      </c>
      <c r="C7" s="5">
        <f t="shared" si="1"/>
        <v>132.86025</v>
      </c>
      <c r="K7" s="13"/>
    </row>
    <row r="8" customFormat="1" spans="1:11">
      <c r="A8" s="3">
        <f t="shared" si="0"/>
        <v>4562.79592564688</v>
      </c>
      <c r="B8" s="4">
        <f>(A8-A13)/A13</f>
        <v>0.2762815625</v>
      </c>
      <c r="C8" s="5">
        <f t="shared" si="1"/>
        <v>147.6225</v>
      </c>
      <c r="I8" s="3"/>
      <c r="K8" s="1"/>
    </row>
    <row r="9" customFormat="1" spans="1:11">
      <c r="A9" s="3">
        <f t="shared" si="0"/>
        <v>4345.5199291875</v>
      </c>
      <c r="B9" s="4">
        <f>(A9-A13)/A13</f>
        <v>0.21550625</v>
      </c>
      <c r="C9" s="5">
        <f t="shared" si="1"/>
        <v>164.025</v>
      </c>
      <c r="I9" s="3"/>
      <c r="K9" s="1"/>
    </row>
    <row r="10" customFormat="1" spans="1:11">
      <c r="A10" s="3">
        <f t="shared" si="0"/>
        <v>4138.59040875</v>
      </c>
      <c r="B10" s="4">
        <f>(A10-A13)/A13</f>
        <v>0.157625</v>
      </c>
      <c r="C10" s="5">
        <f t="shared" si="1"/>
        <v>182.25</v>
      </c>
      <c r="I10" s="3"/>
      <c r="K10" s="1"/>
    </row>
    <row r="11" customFormat="1" spans="1:11">
      <c r="A11" s="3">
        <f t="shared" si="0"/>
        <v>3941.514675</v>
      </c>
      <c r="B11" s="4">
        <f>(A11-A13)/A13</f>
        <v>0.1025</v>
      </c>
      <c r="C11" s="5">
        <f t="shared" si="1"/>
        <v>202.5</v>
      </c>
      <c r="I11" s="3"/>
      <c r="K11" s="1"/>
    </row>
    <row r="12" customFormat="1" spans="1:24">
      <c r="A12" s="3">
        <f t="shared" si="0"/>
        <v>3753.8235</v>
      </c>
      <c r="B12" s="4">
        <f>(A12-A13)/A13</f>
        <v>0.0500000000000001</v>
      </c>
      <c r="C12" s="5">
        <f t="shared" si="1"/>
        <v>225</v>
      </c>
      <c r="D12" s="5"/>
      <c r="E12" s="5"/>
      <c r="F12" s="5"/>
      <c r="G12" s="5"/>
      <c r="H12" s="5"/>
      <c r="I12" s="5"/>
      <c r="J12" s="5"/>
      <c r="K12" s="1"/>
      <c r="U12" s="5"/>
      <c r="V12" s="5"/>
      <c r="W12" s="5"/>
      <c r="X12" s="5"/>
    </row>
    <row r="13" customFormat="1" spans="1:24">
      <c r="A13" s="6">
        <v>3575.07</v>
      </c>
      <c r="B13">
        <f>(A13-A13)/A13</f>
        <v>0</v>
      </c>
      <c r="C13" s="7">
        <v>250</v>
      </c>
      <c r="D13" s="3"/>
      <c r="E13" s="3"/>
      <c r="F13" s="3"/>
      <c r="G13" s="3"/>
      <c r="H13" s="3"/>
      <c r="I13" s="3"/>
      <c r="J13" s="3"/>
      <c r="K13" s="1"/>
      <c r="U13" s="3"/>
      <c r="V13" s="3"/>
      <c r="W13" s="3"/>
      <c r="X13" s="3"/>
    </row>
    <row r="14" customFormat="1" spans="1:11">
      <c r="A14" s="3">
        <f>A13*0.95</f>
        <v>3396.3165</v>
      </c>
      <c r="B14" s="4">
        <f>(A14-A13)/A13</f>
        <v>-0.0500000000000001</v>
      </c>
      <c r="C14" s="5">
        <f>C13*1.1</f>
        <v>275</v>
      </c>
      <c r="K14" s="13"/>
    </row>
    <row r="15" customFormat="1" spans="1:11">
      <c r="A15" s="3">
        <f>A13*0.9</f>
        <v>3217.563</v>
      </c>
      <c r="B15" s="4">
        <f>(A15-A13)/A13</f>
        <v>-0.1</v>
      </c>
      <c r="C15" s="5">
        <f>C13*1.2</f>
        <v>300</v>
      </c>
      <c r="I15" s="3"/>
      <c r="K15" s="1"/>
    </row>
    <row r="16" customFormat="1" spans="1:11">
      <c r="A16" s="3">
        <f>A13*0.85</f>
        <v>3038.8095</v>
      </c>
      <c r="B16" s="4">
        <f>(A16-A13)/A13</f>
        <v>-0.15</v>
      </c>
      <c r="C16" s="5">
        <f>C13*1.3</f>
        <v>325</v>
      </c>
      <c r="I16" s="3"/>
      <c r="K16" s="1"/>
    </row>
    <row r="17" customFormat="1" spans="1:11">
      <c r="A17" s="3">
        <f>A13*0.8</f>
        <v>2860.056</v>
      </c>
      <c r="B17" s="4">
        <f>(A17-A13)/A13</f>
        <v>-0.2</v>
      </c>
      <c r="C17" s="5">
        <f>C13*1.4</f>
        <v>350</v>
      </c>
      <c r="I17" s="3"/>
      <c r="K17" s="1"/>
    </row>
    <row r="18" customFormat="1" spans="1:11">
      <c r="A18" s="3">
        <f>A13*0.75</f>
        <v>2681.3025</v>
      </c>
      <c r="B18" s="4">
        <f>(A18-A13)/A13</f>
        <v>-0.25</v>
      </c>
      <c r="C18" s="5">
        <f>C13*1.5</f>
        <v>375</v>
      </c>
      <c r="I18" s="3"/>
      <c r="K18" s="1"/>
    </row>
    <row r="19" customFormat="1" spans="1:11">
      <c r="A19" s="3">
        <f>A13*0.7</f>
        <v>2502.549</v>
      </c>
      <c r="B19" s="4">
        <f>(A19-A13)/A13</f>
        <v>-0.3</v>
      </c>
      <c r="C19" s="5">
        <f>C13*1.6</f>
        <v>400</v>
      </c>
      <c r="I19" s="3"/>
      <c r="K19" s="1"/>
    </row>
    <row r="20" spans="1:3">
      <c r="A20" s="3">
        <f>A13*0.65</f>
        <v>2323.7955</v>
      </c>
      <c r="B20" s="4">
        <f>(A20-A13)/A13</f>
        <v>-0.35</v>
      </c>
      <c r="C20" s="5">
        <f>C13*1.7</f>
        <v>425</v>
      </c>
    </row>
    <row r="21" spans="1:3">
      <c r="A21" s="3">
        <f>A13*0.6</f>
        <v>2145.042</v>
      </c>
      <c r="B21" s="4">
        <f>(A21-A13)/A13</f>
        <v>-0.4</v>
      </c>
      <c r="C21" s="5">
        <f>C13*1.8</f>
        <v>450</v>
      </c>
    </row>
    <row r="22" spans="1:3">
      <c r="A22" s="3">
        <f>A13*0.55</f>
        <v>1966.2885</v>
      </c>
      <c r="B22" s="4">
        <f>(A22-A13)/A13</f>
        <v>-0.45</v>
      </c>
      <c r="C22" s="5">
        <f>C13*1.9</f>
        <v>475</v>
      </c>
    </row>
    <row r="23" spans="1:3">
      <c r="A23" s="3">
        <f>A13*0.5</f>
        <v>1787.535</v>
      </c>
      <c r="B23" s="4">
        <f>(A23-A13)/A13</f>
        <v>-0.5</v>
      </c>
      <c r="C23" s="5">
        <f>C13*2</f>
        <v>500</v>
      </c>
    </row>
    <row r="24" spans="1:3">
      <c r="A24" s="3">
        <f>A13*0.45</f>
        <v>1608.7815</v>
      </c>
      <c r="B24" s="4">
        <f>(A24-A13)/A13</f>
        <v>-0.55</v>
      </c>
      <c r="C24" s="5">
        <f>C13*2.1</f>
        <v>525</v>
      </c>
    </row>
    <row r="25" spans="1:3">
      <c r="A25" s="3">
        <f>A13*0.4</f>
        <v>1430.028</v>
      </c>
      <c r="B25" s="4">
        <f>(A25-A13)/A13</f>
        <v>-0.6</v>
      </c>
      <c r="C25" s="5">
        <f>C13*2.2</f>
        <v>550</v>
      </c>
    </row>
    <row r="26" spans="1:3">
      <c r="A26" s="3">
        <f>A13*0.35</f>
        <v>1251.2745</v>
      </c>
      <c r="B26" s="4">
        <f>(A26-A13)/A13</f>
        <v>-0.65</v>
      </c>
      <c r="C26" s="5">
        <f>C13*2.3</f>
        <v>575</v>
      </c>
    </row>
    <row r="30" spans="1:6">
      <c r="A30" s="6">
        <v>3575.07</v>
      </c>
      <c r="B30">
        <f>(A30-A30)/A30</f>
        <v>0</v>
      </c>
      <c r="C30" s="7">
        <v>1120.53</v>
      </c>
      <c r="D30" s="8">
        <f>C30</f>
        <v>1120.53</v>
      </c>
      <c r="E30" s="10">
        <v>0</v>
      </c>
      <c r="F30" s="11">
        <v>0</v>
      </c>
    </row>
    <row r="31" spans="1:6">
      <c r="A31" s="3">
        <f>A30*0.95</f>
        <v>3396.3165</v>
      </c>
      <c r="B31" s="4">
        <f>(A31-A30)/A30</f>
        <v>-0.0500000000000001</v>
      </c>
      <c r="C31" s="5">
        <f>C30*1.1</f>
        <v>1232.583</v>
      </c>
      <c r="D31" s="8">
        <f>D30*1.1</f>
        <v>1232.583</v>
      </c>
      <c r="E31" s="10">
        <f>(A31-A30)/A30*C30</f>
        <v>-56.0265000000001</v>
      </c>
      <c r="F31" s="11">
        <f>E31/SUM(C30:C31)</f>
        <v>-0.0238095238095238</v>
      </c>
    </row>
    <row r="32" spans="1:6">
      <c r="A32" s="3">
        <f>A30*0.9</f>
        <v>3217.563</v>
      </c>
      <c r="B32" s="4">
        <f>(A32-A30)/A30</f>
        <v>-0.1</v>
      </c>
      <c r="C32" s="5">
        <f t="shared" ref="C32:C39" si="2">C31*1.1</f>
        <v>1355.8413</v>
      </c>
      <c r="E32" s="10">
        <f>(A32-A30)/A30*C30+(A32-A31)/A31*C31</f>
        <v>-176.925789473684</v>
      </c>
      <c r="F32" s="11">
        <f>E32/SUM(C30:C32)</f>
        <v>-0.0477023374145333</v>
      </c>
    </row>
    <row r="33" spans="1:6">
      <c r="A33" s="3">
        <f>A30*0.85</f>
        <v>3038.8095</v>
      </c>
      <c r="B33" s="4">
        <f>(A33-A30)/A30</f>
        <v>-0.15</v>
      </c>
      <c r="C33" s="5">
        <f t="shared" si="2"/>
        <v>1491.42543</v>
      </c>
      <c r="E33" s="10">
        <f>(A33-A30)/A30*C30+(A33-A31)/A31*C31+(A33-A32)/A32*C32</f>
        <v>-373.149595614035</v>
      </c>
      <c r="F33" s="11">
        <f>E33/SUM(C30:C33)</f>
        <v>-0.0717542977604897</v>
      </c>
    </row>
    <row r="34" spans="1:6">
      <c r="A34" s="3">
        <f>A30*0.8</f>
        <v>2860.056</v>
      </c>
      <c r="B34" s="4">
        <f>(A34-A30)/A30</f>
        <v>-0.2</v>
      </c>
      <c r="C34" s="5">
        <f t="shared" si="2"/>
        <v>1640.567973</v>
      </c>
      <c r="E34" s="10">
        <f>(A34-A30)/A30*C30+(A34-A31)/A31*C31+(A34-A32)/A32*C32+(A34-A33)/A33*C33</f>
        <v>-657.104309401445</v>
      </c>
      <c r="F34" s="11">
        <f>E34/SUM(C30:C34)</f>
        <v>-0.0960545728354685</v>
      </c>
    </row>
    <row r="35" spans="1:6">
      <c r="A35" s="3">
        <f>A30*0.75</f>
        <v>2681.3025</v>
      </c>
      <c r="B35" s="4">
        <f>(A35-A30)/A30</f>
        <v>-0.25</v>
      </c>
      <c r="C35" s="5">
        <f t="shared" si="2"/>
        <v>1804.6247703</v>
      </c>
      <c r="E35" s="10">
        <f>(A35-A30)/A30*C30+(A35-A31)/A31*C31+(A35-A32)/A32*C32+(A35-A33)/A33*C33+(A35-A34)/A34*C34</f>
        <v>-1043.59452150135</v>
      </c>
      <c r="F35" s="11">
        <f>E35/SUM(C30:C35)</f>
        <v>-0.120708550500765</v>
      </c>
    </row>
    <row r="36" spans="1:6">
      <c r="A36" s="3">
        <f>A30*0.7</f>
        <v>2502.549</v>
      </c>
      <c r="B36" s="4">
        <f>(A36-A30)/A30</f>
        <v>-0.3</v>
      </c>
      <c r="C36" s="5">
        <f t="shared" si="2"/>
        <v>1985.08724733</v>
      </c>
      <c r="E36" s="10">
        <f>(A36-A30)/A30*C30+(A36-A31)/A31*C31+(A36-A32)/A32*C32+(A36-A33)/A33*C33+(A36-A34)/A34*C34+(A36-A35)/A35*C35</f>
        <v>-1550.39305162126</v>
      </c>
      <c r="F36" s="11">
        <f>E36/SUM(C30:C36)</f>
        <v>-0.145841659159925</v>
      </c>
    </row>
    <row r="37" spans="1:6">
      <c r="A37" s="3">
        <f>A30*0.65</f>
        <v>2323.7955</v>
      </c>
      <c r="B37" s="4">
        <f>(A37-A30)/A30</f>
        <v>-0.35</v>
      </c>
      <c r="C37" s="5">
        <f t="shared" si="2"/>
        <v>2183.595972063</v>
      </c>
      <c r="E37" s="10">
        <f>(A37-A30)/A30*C30+(A37-A31)/A31*C31+(A37-A32)/A32*C32+(A37-A33)/A33*C33+(A37-A34)/A34*C34+(A37-A35)/A35*C35+(A37-A36)/A36*C36</f>
        <v>-2198.98352797903</v>
      </c>
      <c r="F37" s="11">
        <f>E37/SUM(C30:C37)</f>
        <v>-0.171604467767328</v>
      </c>
    </row>
    <row r="38" spans="1:6">
      <c r="A38" s="3">
        <f>A30*0.6</f>
        <v>2145.042</v>
      </c>
      <c r="B38" s="4">
        <f>(A38-A30)/A30</f>
        <v>-0.4</v>
      </c>
      <c r="C38" s="5">
        <f t="shared" si="2"/>
        <v>2401.9555692693</v>
      </c>
      <c r="E38" s="10">
        <f>(A38-A30)/A30*C30+(A38-A31)/A31*C31+(A38-A32)/A32*C32+(A38-A33)/A33*C33+(A38-A34)/A34*C34+(A38-A35)/A35*C35+(A38-A36)/A36*C36+(A38-A37)/A37*C37</f>
        <v>-3015.54292526472</v>
      </c>
      <c r="F38" s="11">
        <f>E38/SUM(C30:C38)</f>
        <v>-0.198179617340291</v>
      </c>
    </row>
    <row r="39" spans="1:6">
      <c r="A39" s="3">
        <f>A30*0.55</f>
        <v>1966.2885</v>
      </c>
      <c r="B39" s="4">
        <f>(A39-A30)/A30</f>
        <v>-0.45</v>
      </c>
      <c r="C39" s="5">
        <f t="shared" si="2"/>
        <v>2642.15112619623</v>
      </c>
      <c r="E39" s="10">
        <f>(A39-A30)/A30*C30+(A39-A31)/A31*C31+(A39-A32)/A32*C32+(A39-A33)/A33*C33+(A39-A34)/A34*C34+(A39-A35)/A35*C35+(A39-A36)/A36*C36+(A39-A37)/A37*C37+(A39-A38)/A38*C38</f>
        <v>-4032.26528665619</v>
      </c>
      <c r="F39" s="11">
        <f>E39/SUM(C30:C39)</f>
        <v>-0.225791435911833</v>
      </c>
    </row>
    <row r="41" spans="3:4">
      <c r="C41" s="9">
        <f>SUM(C30:C39)</f>
        <v>17858.3623881585</v>
      </c>
      <c r="D41" s="8">
        <f>SUM(D30:D39)</f>
        <v>2353.113</v>
      </c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1"/>
  <sheetViews>
    <sheetView topLeftCell="A22" workbookViewId="0">
      <selection activeCell="H31" sqref="H31"/>
    </sheetView>
  </sheetViews>
  <sheetFormatPr defaultColWidth="9" defaultRowHeight="17.6"/>
  <cols>
    <col min="1" max="2" width="15.7767857142857" customWidth="1"/>
    <col min="3" max="3" width="21.1339285714286" customWidth="1"/>
    <col min="4" max="4" width="12.7857142857143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5.9196428571429" style="1" customWidth="1"/>
    <col min="12" max="12" width="13.0892857142857" customWidth="1"/>
    <col min="13" max="21" width="10.7857142857143" customWidth="1"/>
    <col min="22" max="22" width="13" customWidth="1"/>
    <col min="23" max="23" width="10.7857142857143" customWidth="1"/>
    <col min="24" max="24" width="12.6517857142857" customWidth="1"/>
    <col min="25" max="25" width="17.5625" customWidth="1"/>
  </cols>
  <sheetData>
    <row r="1" customFormat="1" spans="2:11">
      <c r="B1" s="2"/>
      <c r="D1" s="2">
        <v>43940</v>
      </c>
      <c r="K1" s="1"/>
    </row>
    <row r="2" customFormat="1" spans="4:22">
      <c r="D2" s="15" t="s">
        <v>40</v>
      </c>
      <c r="K2" s="12"/>
      <c r="L2" s="5"/>
      <c r="M2" s="5"/>
      <c r="N2" s="5"/>
      <c r="O2" s="5"/>
      <c r="P2" s="5"/>
      <c r="Q2" s="5"/>
      <c r="R2" s="5"/>
      <c r="S2" s="5"/>
      <c r="T2" s="5"/>
      <c r="V2" s="14"/>
    </row>
    <row r="3" customFormat="1" spans="4:20">
      <c r="D3" s="15" t="s">
        <v>41</v>
      </c>
      <c r="K3" s="1"/>
      <c r="L3" s="3"/>
      <c r="M3" s="3"/>
      <c r="N3" s="3"/>
      <c r="O3" s="3"/>
      <c r="P3" s="3"/>
      <c r="Q3" s="3"/>
      <c r="R3" s="3"/>
      <c r="S3" s="3"/>
      <c r="T3" s="3"/>
    </row>
    <row r="4" customFormat="1" spans="11:11">
      <c r="K4" s="1"/>
    </row>
    <row r="5" customFormat="1" spans="1:24">
      <c r="A5" s="3">
        <f t="shared" ref="A5:A12" si="0">A6*105%</f>
        <v>11354.4962529444</v>
      </c>
      <c r="B5" s="4">
        <f>(A5-A13)/A13</f>
        <v>0.477455443789063</v>
      </c>
      <c r="C5" s="5">
        <f t="shared" ref="C5:C12" si="1">C6*0.9</f>
        <v>107.6168025</v>
      </c>
      <c r="D5" s="5"/>
      <c r="E5" s="5"/>
      <c r="F5" s="5"/>
      <c r="G5" s="5"/>
      <c r="H5" s="5"/>
      <c r="I5" s="5"/>
      <c r="J5" s="5"/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1" spans="1:24">
      <c r="A6" s="3">
        <f t="shared" si="0"/>
        <v>10813.8059551851</v>
      </c>
      <c r="B6" s="4">
        <f>(A6-A13)/A13</f>
        <v>0.40710042265625</v>
      </c>
      <c r="C6" s="5">
        <f t="shared" si="1"/>
        <v>119.574225</v>
      </c>
      <c r="D6" s="3"/>
      <c r="E6" s="3"/>
      <c r="F6" s="3"/>
      <c r="G6" s="3"/>
      <c r="H6" s="3"/>
      <c r="I6" s="3"/>
      <c r="J6" s="3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1" spans="1:11">
      <c r="A7" s="3">
        <f t="shared" si="0"/>
        <v>10298.862814462</v>
      </c>
      <c r="B7" s="4">
        <f>(A7-A13)/A13</f>
        <v>0.340095640625</v>
      </c>
      <c r="C7" s="5">
        <f t="shared" si="1"/>
        <v>132.86025</v>
      </c>
      <c r="K7" s="13"/>
    </row>
    <row r="8" customFormat="1" spans="1:11">
      <c r="A8" s="3">
        <f t="shared" si="0"/>
        <v>9808.44077567813</v>
      </c>
      <c r="B8" s="4">
        <f>(A8-A13)/A13</f>
        <v>0.2762815625</v>
      </c>
      <c r="C8" s="5">
        <f t="shared" si="1"/>
        <v>147.6225</v>
      </c>
      <c r="I8" s="3"/>
      <c r="K8" s="1"/>
    </row>
    <row r="9" customFormat="1" spans="1:11">
      <c r="A9" s="3">
        <f t="shared" si="0"/>
        <v>9341.3721673125</v>
      </c>
      <c r="B9" s="4">
        <f>(A9-A13)/A13</f>
        <v>0.21550625</v>
      </c>
      <c r="C9" s="5">
        <f t="shared" si="1"/>
        <v>164.025</v>
      </c>
      <c r="I9" s="3"/>
      <c r="K9" s="1"/>
    </row>
    <row r="10" customFormat="1" spans="1:11">
      <c r="A10" s="3">
        <f t="shared" si="0"/>
        <v>8896.54492125</v>
      </c>
      <c r="B10" s="4">
        <f>(A10-A13)/A13</f>
        <v>0.157625</v>
      </c>
      <c r="C10" s="5">
        <f t="shared" si="1"/>
        <v>182.25</v>
      </c>
      <c r="I10" s="3"/>
      <c r="K10" s="1"/>
    </row>
    <row r="11" customFormat="1" spans="1:11">
      <c r="A11" s="3">
        <f t="shared" si="0"/>
        <v>8472.899925</v>
      </c>
      <c r="B11" s="4">
        <f>(A11-A13)/A13</f>
        <v>0.1025</v>
      </c>
      <c r="C11" s="5">
        <f t="shared" si="1"/>
        <v>202.5</v>
      </c>
      <c r="I11" s="3"/>
      <c r="K11" s="1"/>
    </row>
    <row r="12" customFormat="1" spans="1:24">
      <c r="A12" s="3">
        <f t="shared" si="0"/>
        <v>8069.4285</v>
      </c>
      <c r="B12" s="4">
        <f>(A12-A13)/A13</f>
        <v>0.05</v>
      </c>
      <c r="C12" s="5">
        <f t="shared" si="1"/>
        <v>225</v>
      </c>
      <c r="D12" s="5"/>
      <c r="E12" s="5"/>
      <c r="F12" s="5"/>
      <c r="G12" s="5"/>
      <c r="H12" s="5"/>
      <c r="I12" s="5"/>
      <c r="J12" s="5"/>
      <c r="K12" s="1"/>
      <c r="U12" s="5"/>
      <c r="V12" s="5"/>
      <c r="W12" s="5"/>
      <c r="X12" s="5"/>
    </row>
    <row r="13" customFormat="1" spans="1:24">
      <c r="A13" s="6">
        <v>7685.17</v>
      </c>
      <c r="B13">
        <f>(A13-A13)/A13</f>
        <v>0</v>
      </c>
      <c r="C13" s="7">
        <v>250</v>
      </c>
      <c r="D13" s="3"/>
      <c r="E13" s="3"/>
      <c r="F13" s="3"/>
      <c r="G13" s="3"/>
      <c r="H13" s="3"/>
      <c r="I13" s="3"/>
      <c r="J13" s="3"/>
      <c r="K13" s="1"/>
      <c r="U13" s="3"/>
      <c r="V13" s="3"/>
      <c r="W13" s="3"/>
      <c r="X13" s="3"/>
    </row>
    <row r="14" customFormat="1" spans="1:11">
      <c r="A14" s="3">
        <f>A13*0.95</f>
        <v>7300.9115</v>
      </c>
      <c r="B14" s="4">
        <f>(A14-A13)/A13</f>
        <v>-0.05</v>
      </c>
      <c r="C14" s="5">
        <f>C13*1.1</f>
        <v>275</v>
      </c>
      <c r="K14" s="13"/>
    </row>
    <row r="15" customFormat="1" spans="1:11">
      <c r="A15" s="3">
        <f>A13*0.9</f>
        <v>6916.653</v>
      </c>
      <c r="B15" s="4">
        <f>(A15-A13)/A13</f>
        <v>-0.1</v>
      </c>
      <c r="C15" s="5">
        <f>C13*1.2</f>
        <v>300</v>
      </c>
      <c r="I15" s="3"/>
      <c r="K15" s="1"/>
    </row>
    <row r="16" customFormat="1" spans="1:11">
      <c r="A16" s="3">
        <f>A13*0.85</f>
        <v>6532.3945</v>
      </c>
      <c r="B16" s="4">
        <f>(A16-A13)/A13</f>
        <v>-0.15</v>
      </c>
      <c r="C16" s="5">
        <f>C13*1.3</f>
        <v>325</v>
      </c>
      <c r="I16" s="3"/>
      <c r="K16" s="1"/>
    </row>
    <row r="17" customFormat="1" spans="1:11">
      <c r="A17" s="3">
        <f>A13*0.8</f>
        <v>6148.136</v>
      </c>
      <c r="B17" s="4">
        <f>(A17-A13)/A13</f>
        <v>-0.2</v>
      </c>
      <c r="C17" s="5">
        <f>C13*1.4</f>
        <v>350</v>
      </c>
      <c r="I17" s="3"/>
      <c r="K17" s="1"/>
    </row>
    <row r="18" customFormat="1" spans="1:11">
      <c r="A18" s="3">
        <f>A13*0.75</f>
        <v>5763.8775</v>
      </c>
      <c r="B18" s="4">
        <f>(A18-A13)/A13</f>
        <v>-0.25</v>
      </c>
      <c r="C18" s="5">
        <f>C13*1.5</f>
        <v>375</v>
      </c>
      <c r="I18" s="3"/>
      <c r="K18" s="1"/>
    </row>
    <row r="19" customFormat="1" spans="1:11">
      <c r="A19" s="3">
        <f>A13*0.7</f>
        <v>5379.619</v>
      </c>
      <c r="B19" s="4">
        <f>(A19-A13)/A13</f>
        <v>-0.3</v>
      </c>
      <c r="C19" s="5">
        <f>C13*1.6</f>
        <v>400</v>
      </c>
      <c r="I19" s="3"/>
      <c r="K19" s="1"/>
    </row>
    <row r="20" spans="1:3">
      <c r="A20" s="3">
        <f>A13*0.65</f>
        <v>4995.3605</v>
      </c>
      <c r="B20" s="4">
        <f>(A20-A13)/A13</f>
        <v>-0.35</v>
      </c>
      <c r="C20" s="5">
        <f>C13*1.7</f>
        <v>425</v>
      </c>
    </row>
    <row r="21" spans="1:3">
      <c r="A21" s="3">
        <f>A13*0.6</f>
        <v>4611.102</v>
      </c>
      <c r="B21" s="4">
        <f>(A21-A13)/A13</f>
        <v>-0.4</v>
      </c>
      <c r="C21" s="5">
        <f>C13*1.8</f>
        <v>450</v>
      </c>
    </row>
    <row r="22" spans="1:3">
      <c r="A22" s="3">
        <f>A13*0.55</f>
        <v>4226.8435</v>
      </c>
      <c r="B22" s="4">
        <f>(A22-A13)/A13</f>
        <v>-0.45</v>
      </c>
      <c r="C22" s="5">
        <f>C13*1.9</f>
        <v>475</v>
      </c>
    </row>
    <row r="23" spans="1:3">
      <c r="A23" s="3">
        <f>A13*0.5</f>
        <v>3842.585</v>
      </c>
      <c r="B23" s="4">
        <f>(A23-A13)/A13</f>
        <v>-0.5</v>
      </c>
      <c r="C23" s="5">
        <f>C13*2</f>
        <v>500</v>
      </c>
    </row>
    <row r="24" spans="1:3">
      <c r="A24" s="3">
        <f>A13*0.45</f>
        <v>3458.3265</v>
      </c>
      <c r="B24" s="4">
        <f>(A24-A13)/A13</f>
        <v>-0.55</v>
      </c>
      <c r="C24" s="5">
        <f>C13*2.1</f>
        <v>525</v>
      </c>
    </row>
    <row r="25" spans="1:3">
      <c r="A25" s="3">
        <f>A13*0.4</f>
        <v>3074.068</v>
      </c>
      <c r="B25" s="4">
        <f>(A25-A13)/A13</f>
        <v>-0.6</v>
      </c>
      <c r="C25" s="5">
        <f>C13*2.2</f>
        <v>550</v>
      </c>
    </row>
    <row r="26" spans="1:3">
      <c r="A26" s="3">
        <f>A13*0.35</f>
        <v>2689.8095</v>
      </c>
      <c r="B26" s="4">
        <f>(A26-A13)/A13</f>
        <v>-0.65</v>
      </c>
      <c r="C26" s="5">
        <f>C13*2.3</f>
        <v>575</v>
      </c>
    </row>
    <row r="30" spans="1:6">
      <c r="A30" s="6">
        <v>7685.17</v>
      </c>
      <c r="B30">
        <f>(A30-A30)/A30</f>
        <v>0</v>
      </c>
      <c r="C30" s="7">
        <v>2700</v>
      </c>
      <c r="D30" s="8"/>
      <c r="E30" s="10">
        <v>0</v>
      </c>
      <c r="F30" s="11">
        <v>0</v>
      </c>
    </row>
    <row r="31" spans="1:6">
      <c r="A31" s="3">
        <f>A30*0.95</f>
        <v>7300.9115</v>
      </c>
      <c r="B31" s="4">
        <f>(A31-A30)/A30</f>
        <v>-0.05</v>
      </c>
      <c r="C31" s="5">
        <f>C30*1.1</f>
        <v>2970</v>
      </c>
      <c r="E31" s="10">
        <f>(A31-A30)/A30*C30</f>
        <v>-135</v>
      </c>
      <c r="F31" s="11">
        <f>E31/SUM(C30:C31)</f>
        <v>-0.0238095238095238</v>
      </c>
    </row>
    <row r="32" spans="1:6">
      <c r="A32" s="3">
        <f>A30*0.9</f>
        <v>6916.653</v>
      </c>
      <c r="B32" s="4">
        <f>(A32-A30)/A30</f>
        <v>-0.1</v>
      </c>
      <c r="C32" s="5">
        <f t="shared" ref="C32:C39" si="2">C31*1.1</f>
        <v>3267</v>
      </c>
      <c r="E32" s="10">
        <f>(A32-A30)/A30*C30+(A32-A31)/A31*C31</f>
        <v>-426.315789473684</v>
      </c>
      <c r="F32" s="11">
        <f>E32/SUM(C30:C32)</f>
        <v>-0.0477023374145333</v>
      </c>
    </row>
    <row r="33" spans="1:6">
      <c r="A33" s="3">
        <f>A30*0.85</f>
        <v>6532.3945</v>
      </c>
      <c r="B33" s="4">
        <f>(A33-A30)/A30</f>
        <v>-0.15</v>
      </c>
      <c r="C33" s="5">
        <f t="shared" si="2"/>
        <v>3593.7</v>
      </c>
      <c r="E33" s="10">
        <f>(A33-A30)/A30*C30+(A33-A31)/A31*C31+(A33-A32)/A32*C32</f>
        <v>-899.131578947368</v>
      </c>
      <c r="F33" s="11">
        <f>E33/SUM(C30:C33)</f>
        <v>-0.0717542977604897</v>
      </c>
    </row>
    <row r="34" spans="1:6">
      <c r="A34" s="3">
        <f>A30*0.8</f>
        <v>6148.136</v>
      </c>
      <c r="B34" s="4">
        <f>(A34-A30)/A30</f>
        <v>-0.2</v>
      </c>
      <c r="C34" s="5">
        <f t="shared" si="2"/>
        <v>3953.07</v>
      </c>
      <c r="E34" s="10">
        <f>(A34-A30)/A30*C30+(A34-A31)/A31*C31+(A34-A32)/A32*C32+(A34-A33)/A33*C33</f>
        <v>-1583.34148606811</v>
      </c>
      <c r="F34" s="11">
        <f>E34/SUM(C30:C34)</f>
        <v>-0.0960545728354685</v>
      </c>
    </row>
    <row r="35" spans="1:6">
      <c r="A35" s="3">
        <f>A30*0.75</f>
        <v>5763.8775</v>
      </c>
      <c r="B35" s="4">
        <f>(A35-A30)/A30</f>
        <v>-0.25</v>
      </c>
      <c r="C35" s="5">
        <f t="shared" si="2"/>
        <v>4348.377</v>
      </c>
      <c r="E35" s="10">
        <f>(A35-A30)/A30*C30+(A35-A31)/A31*C31+(A35-A32)/A32*C32+(A35-A33)/A33*C33+(A35-A34)/A34*C34</f>
        <v>-2514.61826818886</v>
      </c>
      <c r="F35" s="11">
        <f>E35/SUM(C30:C35)</f>
        <v>-0.120708550500765</v>
      </c>
    </row>
    <row r="36" spans="1:6">
      <c r="A36" s="3">
        <f>A30*0.7</f>
        <v>5379.619</v>
      </c>
      <c r="B36" s="4">
        <f>(A36-A30)/A30</f>
        <v>-0.3</v>
      </c>
      <c r="C36" s="5">
        <f t="shared" si="2"/>
        <v>4783.2147</v>
      </c>
      <c r="E36" s="10">
        <f>(A36-A30)/A30*C30+(A36-A31)/A31*C31+(A36-A32)/A32*C32+(A36-A33)/A33*C33+(A36-A34)/A34*C34+(A36-A35)/A35*C35</f>
        <v>-3735.7868503096</v>
      </c>
      <c r="F36" s="11">
        <f>E36/SUM(C30:C36)</f>
        <v>-0.145841659159925</v>
      </c>
    </row>
    <row r="37" spans="1:6">
      <c r="A37" s="3">
        <f>A30*0.65</f>
        <v>4995.3605</v>
      </c>
      <c r="B37" s="4">
        <f>(A37-A30)/A30</f>
        <v>-0.35</v>
      </c>
      <c r="C37" s="5">
        <f t="shared" si="2"/>
        <v>5261.53617</v>
      </c>
      <c r="E37" s="10">
        <f>(A37-A30)/A30*C30+(A37-A31)/A31*C31+(A37-A32)/A32*C32+(A37-A33)/A33*C33+(A37-A34)/A34*C34+(A37-A35)/A35*C35+(A37-A36)/A36*C36</f>
        <v>-5298.61362528748</v>
      </c>
      <c r="F37" s="11">
        <f>E37/SUM(C30:C37)</f>
        <v>-0.171604467767328</v>
      </c>
    </row>
    <row r="38" spans="1:6">
      <c r="A38" s="3">
        <f>A30*0.6</f>
        <v>4611.102</v>
      </c>
      <c r="B38" s="4">
        <f>(A38-A30)/A30</f>
        <v>-0.4</v>
      </c>
      <c r="C38" s="5">
        <f t="shared" si="2"/>
        <v>5787.689787</v>
      </c>
      <c r="E38" s="10">
        <f>(A38-A30)/A30*C30+(A38-A31)/A31*C31+(A38-A32)/A32*C32+(A38-A33)/A33*C33+(A38-A34)/A34*C34+(A38-A35)/A35*C35+(A38-A36)/A36*C36+(A38-A37)/A37*C37</f>
        <v>-7266.17395180383</v>
      </c>
      <c r="F38" s="11">
        <f>E38/SUM(C30:C38)</f>
        <v>-0.198179617340291</v>
      </c>
    </row>
    <row r="39" spans="1:6">
      <c r="A39" s="3">
        <f>A30*0.55</f>
        <v>4226.8435</v>
      </c>
      <c r="B39" s="4">
        <f>(A39-A30)/A30</f>
        <v>-0.45</v>
      </c>
      <c r="C39" s="5">
        <f t="shared" si="2"/>
        <v>6366.4587657</v>
      </c>
      <c r="E39" s="10">
        <f>(A39-A30)/A30*C30+(A39-A31)/A31*C31+(A39-A32)/A32*C32+(A39-A33)/A33*C33+(A39-A34)/A34*C34+(A39-A35)/A35*C35+(A39-A36)/A36*C36+(A39-A37)/A37*C37+(A39-A38)/A38*C38</f>
        <v>-9716.04176057018</v>
      </c>
      <c r="F39" s="11">
        <f>E39/SUM(C30:C39)</f>
        <v>-0.225791435911833</v>
      </c>
    </row>
    <row r="41" spans="3:4">
      <c r="C41" s="9">
        <f>SUM(C30:C39)</f>
        <v>43031.0464227</v>
      </c>
      <c r="D41" s="8">
        <f>SUM(D30:D39)</f>
        <v>0</v>
      </c>
    </row>
  </sheetData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1"/>
  <sheetViews>
    <sheetView workbookViewId="0">
      <selection activeCell="I11" sqref="I11"/>
    </sheetView>
  </sheetViews>
  <sheetFormatPr defaultColWidth="9" defaultRowHeight="17.6"/>
  <cols>
    <col min="1" max="2" width="15.7767857142857" customWidth="1"/>
    <col min="3" max="3" width="21.1339285714286" customWidth="1"/>
    <col min="4" max="4" width="12.7857142857143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5.9196428571429" style="1" customWidth="1"/>
    <col min="12" max="12" width="13.0892857142857" customWidth="1"/>
    <col min="13" max="21" width="10.7857142857143" customWidth="1"/>
    <col min="22" max="22" width="13" customWidth="1"/>
    <col min="23" max="23" width="10.7857142857143" customWidth="1"/>
    <col min="24" max="24" width="12.6517857142857" customWidth="1"/>
    <col min="25" max="25" width="17.5625" customWidth="1"/>
  </cols>
  <sheetData>
    <row r="1" customFormat="1" spans="2:11">
      <c r="B1" s="2"/>
      <c r="D1" s="2">
        <v>43952</v>
      </c>
      <c r="K1" s="1"/>
    </row>
    <row r="2" customFormat="1" spans="4:22">
      <c r="D2" s="15" t="s">
        <v>42</v>
      </c>
      <c r="K2" s="12"/>
      <c r="L2" s="5"/>
      <c r="M2" s="5"/>
      <c r="N2" s="5"/>
      <c r="O2" s="5"/>
      <c r="P2" s="5"/>
      <c r="Q2" s="5"/>
      <c r="R2" s="5"/>
      <c r="S2" s="5"/>
      <c r="T2" s="5"/>
      <c r="V2" s="14"/>
    </row>
    <row r="3" customFormat="1" spans="4:20">
      <c r="D3" s="15" t="s">
        <v>43</v>
      </c>
      <c r="K3" s="1"/>
      <c r="L3" s="3"/>
      <c r="M3" s="3"/>
      <c r="N3" s="3"/>
      <c r="O3" s="3"/>
      <c r="P3" s="3"/>
      <c r="Q3" s="3"/>
      <c r="R3" s="3"/>
      <c r="S3" s="3"/>
      <c r="T3" s="3"/>
    </row>
    <row r="4" customFormat="1" spans="5:11">
      <c r="E4" s="2">
        <v>43986</v>
      </c>
      <c r="F4" s="2">
        <v>43993</v>
      </c>
      <c r="G4" s="2">
        <v>44022</v>
      </c>
      <c r="K4" s="1"/>
    </row>
    <row r="5" customFormat="1" spans="1:24">
      <c r="A5" s="3">
        <f t="shared" ref="A5:A12" si="0">A6*105%</f>
        <v>6042.97005975052</v>
      </c>
      <c r="B5" s="4">
        <f>(A5-A13)/A13</f>
        <v>0.477455443789063</v>
      </c>
      <c r="C5" s="5">
        <f t="shared" ref="C5:C12" si="1">C6*0.9</f>
        <v>172.186884</v>
      </c>
      <c r="D5" s="5"/>
      <c r="E5" s="5"/>
      <c r="F5" s="5"/>
      <c r="G5" s="5"/>
      <c r="H5" s="5"/>
      <c r="I5" s="5"/>
      <c r="J5" s="5"/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1" spans="1:24">
      <c r="A6" s="3">
        <f t="shared" si="0"/>
        <v>5755.20958071478</v>
      </c>
      <c r="B6" s="4">
        <f>(A6-A13)/A13</f>
        <v>0.407100422656251</v>
      </c>
      <c r="C6" s="5">
        <f t="shared" si="1"/>
        <v>191.31876</v>
      </c>
      <c r="D6" s="3"/>
      <c r="E6" s="3"/>
      <c r="F6" s="3"/>
      <c r="G6" s="3"/>
      <c r="H6" s="3"/>
      <c r="I6" s="3"/>
      <c r="J6" s="3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1" spans="1:11">
      <c r="A7" s="3">
        <f t="shared" si="0"/>
        <v>5481.15198163313</v>
      </c>
      <c r="B7" s="4">
        <f>(A7-A13)/A13</f>
        <v>0.340095640625</v>
      </c>
      <c r="C7" s="5">
        <f t="shared" si="1"/>
        <v>212.5764</v>
      </c>
      <c r="K7" s="13"/>
    </row>
    <row r="8" customFormat="1" spans="1:11">
      <c r="A8" s="3">
        <f t="shared" si="0"/>
        <v>5220.1447444125</v>
      </c>
      <c r="B8" s="4">
        <f>(A8-A13)/A13</f>
        <v>0.2762815625</v>
      </c>
      <c r="C8" s="5">
        <f t="shared" si="1"/>
        <v>236.196</v>
      </c>
      <c r="I8" s="3"/>
      <c r="K8" s="1"/>
    </row>
    <row r="9" customFormat="1" spans="1:11">
      <c r="A9" s="3">
        <f t="shared" si="0"/>
        <v>4971.56642325</v>
      </c>
      <c r="B9" s="4">
        <f>(A9-A13)/A13</f>
        <v>0.21550625</v>
      </c>
      <c r="C9" s="5">
        <f t="shared" si="1"/>
        <v>262.44</v>
      </c>
      <c r="I9" s="3"/>
      <c r="K9" s="1"/>
    </row>
    <row r="10" customFormat="1" spans="1:11">
      <c r="A10" s="3">
        <f t="shared" si="0"/>
        <v>4734.825165</v>
      </c>
      <c r="B10" s="4">
        <f>(A10-A13)/A13</f>
        <v>0.157625</v>
      </c>
      <c r="C10" s="5">
        <f t="shared" si="1"/>
        <v>291.6</v>
      </c>
      <c r="I10" s="3"/>
      <c r="K10" s="1"/>
    </row>
    <row r="11" customFormat="1" spans="1:11">
      <c r="A11" s="3">
        <f t="shared" si="0"/>
        <v>4509.3573</v>
      </c>
      <c r="B11" s="4">
        <f>(A11-A13)/A13</f>
        <v>0.1025</v>
      </c>
      <c r="C11" s="5">
        <f t="shared" si="1"/>
        <v>324</v>
      </c>
      <c r="G11" s="16">
        <v>1000</v>
      </c>
      <c r="I11" s="3"/>
      <c r="K11" s="1"/>
    </row>
    <row r="12" customFormat="1" spans="1:24">
      <c r="A12" s="3">
        <f t="shared" si="0"/>
        <v>4294.626</v>
      </c>
      <c r="B12" s="4">
        <f>(A12-A13)/A13</f>
        <v>0.0500000000000001</v>
      </c>
      <c r="C12" s="5">
        <f t="shared" si="1"/>
        <v>360</v>
      </c>
      <c r="D12" s="5"/>
      <c r="E12" s="5"/>
      <c r="F12" s="5"/>
      <c r="G12" s="5"/>
      <c r="H12" s="5"/>
      <c r="I12" s="5"/>
      <c r="J12" s="5"/>
      <c r="K12" s="1"/>
      <c r="U12" s="5"/>
      <c r="V12" s="5"/>
      <c r="W12" s="5"/>
      <c r="X12" s="5"/>
    </row>
    <row r="13" customFormat="1" spans="1:24">
      <c r="A13" s="6">
        <v>4090.12</v>
      </c>
      <c r="B13">
        <f>(A13-A13)/A13</f>
        <v>0</v>
      </c>
      <c r="C13" s="7">
        <v>400</v>
      </c>
      <c r="D13" s="3"/>
      <c r="E13" s="3">
        <v>4104</v>
      </c>
      <c r="F13" s="3">
        <v>4043</v>
      </c>
      <c r="G13" s="3"/>
      <c r="H13" s="3"/>
      <c r="I13" s="3"/>
      <c r="J13" s="3"/>
      <c r="K13" s="1"/>
      <c r="U13" s="3"/>
      <c r="V13" s="3"/>
      <c r="W13" s="3"/>
      <c r="X13" s="3"/>
    </row>
    <row r="14" customFormat="1" spans="1:11">
      <c r="A14" s="3">
        <f>A13*0.95</f>
        <v>3885.614</v>
      </c>
      <c r="B14" s="4">
        <f>(A14-A13)/A13</f>
        <v>-0.0500000000000001</v>
      </c>
      <c r="C14" s="5">
        <f>C13*1.1</f>
        <v>440</v>
      </c>
      <c r="K14" s="13"/>
    </row>
    <row r="15" customFormat="1" spans="1:11">
      <c r="A15" s="3">
        <f>A13*0.9</f>
        <v>3681.108</v>
      </c>
      <c r="B15" s="4">
        <f>(A15-A13)/A13</f>
        <v>-0.0999999999999999</v>
      </c>
      <c r="C15" s="5">
        <f>C13*1.2</f>
        <v>480</v>
      </c>
      <c r="I15" s="3"/>
      <c r="K15" s="1"/>
    </row>
    <row r="16" customFormat="1" spans="1:11">
      <c r="A16" s="3">
        <f>A13*0.85</f>
        <v>3476.602</v>
      </c>
      <c r="B16" s="4">
        <f>(A16-A13)/A13</f>
        <v>-0.15</v>
      </c>
      <c r="C16" s="5">
        <f>C13*1.3</f>
        <v>520</v>
      </c>
      <c r="I16" s="3"/>
      <c r="K16" s="1"/>
    </row>
    <row r="17" customFormat="1" spans="1:11">
      <c r="A17" s="3">
        <f>A13*0.8</f>
        <v>3272.096</v>
      </c>
      <c r="B17" s="4">
        <f>(A17-A13)/A13</f>
        <v>-0.2</v>
      </c>
      <c r="C17" s="5">
        <f>C13*1.4</f>
        <v>560</v>
      </c>
      <c r="I17" s="3"/>
      <c r="K17" s="1"/>
    </row>
    <row r="18" customFormat="1" spans="1:11">
      <c r="A18" s="3">
        <f>A13*0.75</f>
        <v>3067.59</v>
      </c>
      <c r="B18" s="4">
        <f>(A18-A13)/A13</f>
        <v>-0.25</v>
      </c>
      <c r="C18" s="5">
        <f>C13*1.5</f>
        <v>600</v>
      </c>
      <c r="I18" s="3"/>
      <c r="K18" s="1"/>
    </row>
    <row r="19" customFormat="1" spans="1:11">
      <c r="A19" s="3">
        <f>A13*0.7</f>
        <v>2863.084</v>
      </c>
      <c r="B19" s="4">
        <f>(A19-A13)/A13</f>
        <v>-0.3</v>
      </c>
      <c r="C19" s="5">
        <f>C13*1.6</f>
        <v>640</v>
      </c>
      <c r="I19" s="3"/>
      <c r="K19" s="1"/>
    </row>
    <row r="20" customFormat="1" spans="1:11">
      <c r="A20" s="3">
        <f>A13*0.65</f>
        <v>2658.578</v>
      </c>
      <c r="B20" s="4">
        <f>(A20-A13)/A13</f>
        <v>-0.35</v>
      </c>
      <c r="C20" s="5">
        <f>C13*1.7</f>
        <v>680</v>
      </c>
      <c r="K20" s="1"/>
    </row>
    <row r="21" customFormat="1" spans="1:11">
      <c r="A21" s="3">
        <f>A13*0.6</f>
        <v>2454.072</v>
      </c>
      <c r="B21" s="4">
        <f>(A21-A13)/A13</f>
        <v>-0.4</v>
      </c>
      <c r="C21" s="5">
        <f>C13*1.8</f>
        <v>720</v>
      </c>
      <c r="K21" s="1"/>
    </row>
    <row r="22" customFormat="1" spans="1:11">
      <c r="A22" s="3">
        <f>A13*0.55</f>
        <v>2249.566</v>
      </c>
      <c r="B22" s="4">
        <f>(A22-A13)/A13</f>
        <v>-0.45</v>
      </c>
      <c r="C22" s="5">
        <f>C13*1.9</f>
        <v>760</v>
      </c>
      <c r="K22" s="1"/>
    </row>
    <row r="23" customFormat="1" spans="1:11">
      <c r="A23" s="3">
        <f>A13*0.5</f>
        <v>2045.06</v>
      </c>
      <c r="B23" s="4">
        <f>(A23-A13)/A13</f>
        <v>-0.5</v>
      </c>
      <c r="C23" s="5">
        <f>C13*2</f>
        <v>800</v>
      </c>
      <c r="K23" s="1"/>
    </row>
    <row r="24" customFormat="1" spans="1:11">
      <c r="A24" s="3">
        <f>A13*0.45</f>
        <v>1840.554</v>
      </c>
      <c r="B24" s="4">
        <f>(A24-A13)/A13</f>
        <v>-0.55</v>
      </c>
      <c r="C24" s="5">
        <f>C13*2.1</f>
        <v>840</v>
      </c>
      <c r="K24" s="1"/>
    </row>
    <row r="25" customFormat="1" spans="1:11">
      <c r="A25" s="3">
        <f>A13*0.4</f>
        <v>1636.048</v>
      </c>
      <c r="B25" s="4">
        <f>(A25-A13)/A13</f>
        <v>-0.6</v>
      </c>
      <c r="C25" s="5">
        <f>C13*2.2</f>
        <v>880</v>
      </c>
      <c r="K25" s="1"/>
    </row>
    <row r="26" customFormat="1" spans="1:11">
      <c r="A26" s="3">
        <f>A13*0.35</f>
        <v>1431.542</v>
      </c>
      <c r="B26" s="4">
        <f>(A26-A13)/A13</f>
        <v>-0.65</v>
      </c>
      <c r="C26" s="5">
        <f>C13*2.3</f>
        <v>920</v>
      </c>
      <c r="K26" s="1"/>
    </row>
    <row r="27" customFormat="1" spans="11:11">
      <c r="K27" s="1"/>
    </row>
    <row r="28" customFormat="1" spans="11:11">
      <c r="K28" s="1"/>
    </row>
    <row r="29" customFormat="1" spans="11:11">
      <c r="K29" s="1"/>
    </row>
    <row r="30" customFormat="1" spans="1:11">
      <c r="A30" s="6">
        <v>4090.12</v>
      </c>
      <c r="B30">
        <f>(A30-A30)/A30</f>
        <v>0</v>
      </c>
      <c r="C30" s="7">
        <v>1200</v>
      </c>
      <c r="D30" s="8">
        <f>C30</f>
        <v>1200</v>
      </c>
      <c r="E30" s="10">
        <v>0</v>
      </c>
      <c r="F30" s="11">
        <v>0</v>
      </c>
      <c r="K30" s="1"/>
    </row>
    <row r="31" customFormat="1" spans="1:11">
      <c r="A31" s="3">
        <f>A30*0.95</f>
        <v>3885.614</v>
      </c>
      <c r="B31" s="4">
        <f>(A31-A30)/A30</f>
        <v>-0.0500000000000001</v>
      </c>
      <c r="C31" s="5">
        <f t="shared" ref="C31:C39" si="2">C30*1.1</f>
        <v>1320</v>
      </c>
      <c r="E31" s="10">
        <f>(A31-A30)/A30*C30</f>
        <v>-60</v>
      </c>
      <c r="F31" s="11">
        <f>E31/SUM(C30:C31)</f>
        <v>-0.0238095238095238</v>
      </c>
      <c r="K31" s="1"/>
    </row>
    <row r="32" customFormat="1" spans="1:11">
      <c r="A32" s="3">
        <f>A30*0.9</f>
        <v>3681.108</v>
      </c>
      <c r="B32" s="4">
        <f>(A32-A30)/A30</f>
        <v>-0.0999999999999999</v>
      </c>
      <c r="C32" s="5">
        <f t="shared" si="2"/>
        <v>1452</v>
      </c>
      <c r="E32" s="10">
        <f>(A32-A30)/A30*C30+(A32-A31)/A31*C31</f>
        <v>-189.473684210526</v>
      </c>
      <c r="F32" s="11">
        <f>E32/SUM(C30:C32)</f>
        <v>-0.0477023374145333</v>
      </c>
      <c r="K32" s="1"/>
    </row>
    <row r="33" customFormat="1" spans="1:11">
      <c r="A33" s="3">
        <f>A30*0.85</f>
        <v>3476.602</v>
      </c>
      <c r="B33" s="4">
        <f>(A33-A30)/A30</f>
        <v>-0.15</v>
      </c>
      <c r="C33" s="5">
        <f t="shared" si="2"/>
        <v>1597.2</v>
      </c>
      <c r="E33" s="10">
        <f>(A33-A30)/A30*C30+(A33-A31)/A31*C31+(A33-A32)/A32*C32</f>
        <v>-399.61403508772</v>
      </c>
      <c r="F33" s="11">
        <f>E33/SUM(C30:C33)</f>
        <v>-0.0717542977604897</v>
      </c>
      <c r="K33" s="1"/>
    </row>
    <row r="34" customFormat="1" spans="1:11">
      <c r="A34" s="3">
        <f>A30*0.8</f>
        <v>3272.096</v>
      </c>
      <c r="B34" s="4">
        <f>(A34-A30)/A30</f>
        <v>-0.2</v>
      </c>
      <c r="C34" s="5">
        <f t="shared" si="2"/>
        <v>1756.92</v>
      </c>
      <c r="E34" s="10">
        <f>(A34-A30)/A30*C30+(A34-A31)/A31*C31+(A34-A32)/A32*C32+(A34-A33)/A33*C33</f>
        <v>-703.707327141383</v>
      </c>
      <c r="F34" s="11">
        <f>E34/SUM(C30:C34)</f>
        <v>-0.0960545728354685</v>
      </c>
      <c r="K34" s="1"/>
    </row>
    <row r="35" customFormat="1" spans="1:11">
      <c r="A35" s="3">
        <f>A30*0.75</f>
        <v>3067.59</v>
      </c>
      <c r="B35" s="4">
        <f>(A35-A30)/A30</f>
        <v>-0.25</v>
      </c>
      <c r="C35" s="5">
        <f t="shared" si="2"/>
        <v>1932.612</v>
      </c>
      <c r="E35" s="10">
        <f>(A35-A30)/A30*C30+(A35-A31)/A31*C31+(A35-A32)/A32*C32+(A35-A33)/A33*C33+(A35-A34)/A34*C34</f>
        <v>-1117.60811919505</v>
      </c>
      <c r="F35" s="11">
        <f>E35/SUM(C30:C35)</f>
        <v>-0.120708550500765</v>
      </c>
      <c r="K35" s="1"/>
    </row>
    <row r="36" customFormat="1" spans="1:11">
      <c r="A36" s="3">
        <f>A30*0.7</f>
        <v>2863.084</v>
      </c>
      <c r="B36" s="4">
        <f>(A36-A30)/A30</f>
        <v>-0.3</v>
      </c>
      <c r="C36" s="5">
        <f t="shared" si="2"/>
        <v>2125.8732</v>
      </c>
      <c r="E36" s="10">
        <f>(A36-A30)/A30*C30+(A36-A31)/A31*C31+(A36-A32)/A32*C32+(A36-A33)/A33*C33+(A36-A34)/A34*C34+(A36-A35)/A35*C35</f>
        <v>-1660.34971124871</v>
      </c>
      <c r="F36" s="11">
        <f>E36/SUM(C30:C36)</f>
        <v>-0.145841659159925</v>
      </c>
      <c r="K36" s="1"/>
    </row>
    <row r="37" customFormat="1" spans="1:11">
      <c r="A37" s="3">
        <f>A30*0.65</f>
        <v>2658.578</v>
      </c>
      <c r="B37" s="4">
        <f>(A37-A30)/A30</f>
        <v>-0.35</v>
      </c>
      <c r="C37" s="5">
        <f t="shared" si="2"/>
        <v>2338.46052</v>
      </c>
      <c r="E37" s="10">
        <f>(A37-A30)/A30*C30+(A37-A31)/A31*C31+(A37-A32)/A32*C32+(A37-A33)/A33*C33+(A37-A34)/A34*C34+(A37-A35)/A35*C35+(A37-A36)/A36*C36</f>
        <v>-2354.93938901666</v>
      </c>
      <c r="F37" s="11">
        <f>E37/SUM(C30:C37)</f>
        <v>-0.171604467767328</v>
      </c>
      <c r="K37" s="1"/>
    </row>
    <row r="38" customFormat="1" spans="1:11">
      <c r="A38" s="3">
        <f>A30*0.6</f>
        <v>2454.072</v>
      </c>
      <c r="B38" s="4">
        <f>(A38-A30)/A30</f>
        <v>-0.4</v>
      </c>
      <c r="C38" s="5">
        <f t="shared" si="2"/>
        <v>2572.306572</v>
      </c>
      <c r="E38" s="10">
        <f>(A38-A30)/A30*C30+(A38-A31)/A31*C31+(A38-A32)/A32*C32+(A38-A33)/A33*C33+(A38-A34)/A34*C34+(A38-A35)/A35*C35+(A38-A36)/A36*C36+(A38-A37)/A37*C37</f>
        <v>-3229.41064524615</v>
      </c>
      <c r="F38" s="11">
        <f>E38/SUM(C30:C38)</f>
        <v>-0.198179617340291</v>
      </c>
      <c r="K38" s="1"/>
    </row>
    <row r="39" customFormat="1" spans="1:11">
      <c r="A39" s="3">
        <f>A30*0.55</f>
        <v>2249.566</v>
      </c>
      <c r="B39" s="4">
        <f>(A39-A30)/A30</f>
        <v>-0.45</v>
      </c>
      <c r="C39" s="5">
        <f t="shared" si="2"/>
        <v>2829.5372292</v>
      </c>
      <c r="E39" s="10">
        <f>(A39-A30)/A30*C30+(A39-A31)/A31*C31+(A39-A32)/A32*C32+(A39-A33)/A33*C33+(A39-A34)/A34*C34+(A39-A35)/A35*C35+(A39-A36)/A36*C36+(A39-A37)/A37*C37+(A39-A38)/A38*C38</f>
        <v>-4318.24078247564</v>
      </c>
      <c r="F39" s="11">
        <f>E39/SUM(C30:C39)</f>
        <v>-0.225791435911833</v>
      </c>
      <c r="K39" s="1"/>
    </row>
    <row r="40" customFormat="1" spans="11:11">
      <c r="K40" s="1"/>
    </row>
    <row r="41" customFormat="1" spans="3:11">
      <c r="C41" s="9">
        <f>SUM(C30:C39)</f>
        <v>19124.9095212</v>
      </c>
      <c r="D41" s="8">
        <f>SUM(D30:D39)</f>
        <v>1200</v>
      </c>
      <c r="K41" s="1"/>
    </row>
  </sheetData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1"/>
  <sheetViews>
    <sheetView tabSelected="1" topLeftCell="A18" workbookViewId="0">
      <selection activeCell="E21" sqref="E21"/>
    </sheetView>
  </sheetViews>
  <sheetFormatPr defaultColWidth="9" defaultRowHeight="17.6"/>
  <cols>
    <col min="1" max="2" width="15.7767857142857" customWidth="1"/>
    <col min="3" max="3" width="21.1339285714286" customWidth="1"/>
    <col min="4" max="4" width="12.7857142857143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5.9196428571429" style="1" customWidth="1"/>
    <col min="12" max="12" width="13.0892857142857" customWidth="1"/>
    <col min="13" max="21" width="10.7857142857143" customWidth="1"/>
    <col min="22" max="22" width="13" customWidth="1"/>
    <col min="23" max="23" width="10.7857142857143" customWidth="1"/>
    <col min="24" max="24" width="12.6517857142857" customWidth="1"/>
    <col min="25" max="25" width="17.5625" customWidth="1"/>
  </cols>
  <sheetData>
    <row r="1" customFormat="1" spans="2:11">
      <c r="B1" s="2"/>
      <c r="D1" s="2">
        <v>43952</v>
      </c>
      <c r="K1" s="1"/>
    </row>
    <row r="2" customFormat="1" spans="4:22">
      <c r="D2" s="15" t="s">
        <v>42</v>
      </c>
      <c r="K2" s="12"/>
      <c r="L2" s="5"/>
      <c r="M2" s="5"/>
      <c r="N2" s="5"/>
      <c r="O2" s="5"/>
      <c r="P2" s="5"/>
      <c r="Q2" s="5"/>
      <c r="R2" s="5"/>
      <c r="S2" s="5"/>
      <c r="T2" s="5"/>
      <c r="V2" s="14"/>
    </row>
    <row r="3" customFormat="1" spans="4:20">
      <c r="D3" s="15" t="s">
        <v>43</v>
      </c>
      <c r="K3" s="1"/>
      <c r="L3" s="3"/>
      <c r="M3" s="3"/>
      <c r="N3" s="3"/>
      <c r="O3" s="3"/>
      <c r="P3" s="3"/>
      <c r="Q3" s="3"/>
      <c r="R3" s="3"/>
      <c r="S3" s="3"/>
      <c r="T3" s="3"/>
    </row>
    <row r="4" customFormat="1" spans="11:11">
      <c r="K4" s="1"/>
    </row>
    <row r="5" customFormat="1" spans="1:24">
      <c r="A5" s="3">
        <f t="shared" ref="A5:A12" si="0">A6*105%</f>
        <v>33910.9119351531</v>
      </c>
      <c r="B5" s="4">
        <f>(A5-A13)/A13</f>
        <v>0.477455443789063</v>
      </c>
      <c r="C5" s="5">
        <f t="shared" ref="C5:C12" si="1">C6*0.9</f>
        <v>107.6168025</v>
      </c>
      <c r="D5" s="5"/>
      <c r="E5" s="5"/>
      <c r="F5" s="5"/>
      <c r="G5" s="5"/>
      <c r="H5" s="5"/>
      <c r="I5" s="5"/>
      <c r="J5" s="5"/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1" spans="1:24">
      <c r="A6" s="3">
        <f t="shared" si="0"/>
        <v>32296.1066049077</v>
      </c>
      <c r="B6" s="4">
        <f>(A6-A13)/A13</f>
        <v>0.40710042265625</v>
      </c>
      <c r="C6" s="5">
        <f t="shared" si="1"/>
        <v>119.574225</v>
      </c>
      <c r="D6" s="3"/>
      <c r="E6" s="3"/>
      <c r="F6" s="3"/>
      <c r="G6" s="3"/>
      <c r="H6" s="3"/>
      <c r="I6" s="3"/>
      <c r="J6" s="3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1" spans="1:11">
      <c r="A7" s="3">
        <f t="shared" si="0"/>
        <v>30758.1967665788</v>
      </c>
      <c r="B7" s="4">
        <f>(A7-A13)/A13</f>
        <v>0.340095640625</v>
      </c>
      <c r="C7" s="5">
        <f t="shared" si="1"/>
        <v>132.86025</v>
      </c>
      <c r="K7" s="13"/>
    </row>
    <row r="8" customFormat="1" spans="1:11">
      <c r="A8" s="3">
        <f t="shared" si="0"/>
        <v>29293.520730075</v>
      </c>
      <c r="B8" s="4">
        <f>(A8-A13)/A13</f>
        <v>0.2762815625</v>
      </c>
      <c r="C8" s="5">
        <f t="shared" si="1"/>
        <v>147.6225</v>
      </c>
      <c r="I8" s="3"/>
      <c r="K8" s="1"/>
    </row>
    <row r="9" customFormat="1" spans="1:11">
      <c r="A9" s="3">
        <f t="shared" si="0"/>
        <v>27898.5911715</v>
      </c>
      <c r="B9" s="4">
        <f>(A9-A13)/A13</f>
        <v>0.21550625</v>
      </c>
      <c r="C9" s="5">
        <f t="shared" si="1"/>
        <v>164.025</v>
      </c>
      <c r="I9" s="3"/>
      <c r="K9" s="1"/>
    </row>
    <row r="10" customFormat="1" spans="1:11">
      <c r="A10" s="3">
        <f t="shared" si="0"/>
        <v>26570.08683</v>
      </c>
      <c r="B10" s="4">
        <f>(A10-A13)/A13</f>
        <v>0.157625</v>
      </c>
      <c r="C10" s="5">
        <f t="shared" si="1"/>
        <v>182.25</v>
      </c>
      <c r="I10" s="3"/>
      <c r="K10" s="1"/>
    </row>
    <row r="11" customFormat="1" spans="1:11">
      <c r="A11" s="3">
        <f t="shared" si="0"/>
        <v>25304.8446</v>
      </c>
      <c r="B11" s="4">
        <f>(A11-A13)/A13</f>
        <v>0.1025</v>
      </c>
      <c r="C11" s="5">
        <f t="shared" si="1"/>
        <v>202.5</v>
      </c>
      <c r="I11" s="3"/>
      <c r="K11" s="1"/>
    </row>
    <row r="12" customFormat="1" spans="1:24">
      <c r="A12" s="3">
        <f t="shared" si="0"/>
        <v>24099.852</v>
      </c>
      <c r="B12" s="4">
        <f>(A12-A13)/A13</f>
        <v>0.05</v>
      </c>
      <c r="C12" s="5">
        <f t="shared" si="1"/>
        <v>225</v>
      </c>
      <c r="D12" s="5"/>
      <c r="E12" s="5"/>
      <c r="F12" s="5"/>
      <c r="G12" s="5"/>
      <c r="H12" s="5"/>
      <c r="I12" s="5"/>
      <c r="J12" s="5"/>
      <c r="K12" s="1"/>
      <c r="U12" s="5"/>
      <c r="V12" s="5"/>
      <c r="W12" s="5"/>
      <c r="X12" s="5"/>
    </row>
    <row r="13" customFormat="1" spans="1:24">
      <c r="A13" s="6">
        <v>22952.24</v>
      </c>
      <c r="B13">
        <f>(A13-A13)/A13</f>
        <v>0</v>
      </c>
      <c r="C13" s="7">
        <v>250</v>
      </c>
      <c r="D13" s="3"/>
      <c r="E13" s="3"/>
      <c r="F13" s="3"/>
      <c r="G13" s="3"/>
      <c r="H13" s="3"/>
      <c r="I13" s="3"/>
      <c r="J13" s="3"/>
      <c r="K13" s="1"/>
      <c r="U13" s="3"/>
      <c r="V13" s="3"/>
      <c r="W13" s="3"/>
      <c r="X13" s="3"/>
    </row>
    <row r="14" customFormat="1" spans="1:11">
      <c r="A14" s="3">
        <f>A13*0.95</f>
        <v>21804.628</v>
      </c>
      <c r="B14" s="4">
        <f>(A14-A13)/A13</f>
        <v>-0.05</v>
      </c>
      <c r="C14" s="5">
        <f>C13*1.1</f>
        <v>275</v>
      </c>
      <c r="K14" s="13"/>
    </row>
    <row r="15" customFormat="1" spans="1:11">
      <c r="A15" s="3">
        <f>A13*0.9</f>
        <v>20657.016</v>
      </c>
      <c r="B15" s="4">
        <f>(A15-A13)/A13</f>
        <v>-0.0999999999999999</v>
      </c>
      <c r="C15" s="5">
        <f>C13*1.2</f>
        <v>300</v>
      </c>
      <c r="I15" s="3"/>
      <c r="K15" s="1"/>
    </row>
    <row r="16" customFormat="1" spans="1:11">
      <c r="A16" s="3">
        <f>A13*0.85</f>
        <v>19509.404</v>
      </c>
      <c r="B16" s="4">
        <f>(A16-A13)/A13</f>
        <v>-0.15</v>
      </c>
      <c r="C16" s="5">
        <f>C13*1.3</f>
        <v>325</v>
      </c>
      <c r="I16" s="3"/>
      <c r="K16" s="1"/>
    </row>
    <row r="17" customFormat="1" spans="1:11">
      <c r="A17" s="3">
        <f>A13*0.8</f>
        <v>18361.792</v>
      </c>
      <c r="B17" s="4">
        <f>(A17-A13)/A13</f>
        <v>-0.2</v>
      </c>
      <c r="C17" s="5">
        <f>C13*1.4</f>
        <v>350</v>
      </c>
      <c r="I17" s="3"/>
      <c r="K17" s="1"/>
    </row>
    <row r="18" customFormat="1" spans="1:11">
      <c r="A18" s="3">
        <f>A13*0.75</f>
        <v>17214.18</v>
      </c>
      <c r="B18" s="4">
        <f>(A18-A13)/A13</f>
        <v>-0.25</v>
      </c>
      <c r="C18" s="5">
        <f>C13*1.5</f>
        <v>375</v>
      </c>
      <c r="I18" s="3"/>
      <c r="K18" s="1"/>
    </row>
    <row r="19" customFormat="1" spans="1:11">
      <c r="A19" s="3">
        <f>A13*0.7</f>
        <v>16066.568</v>
      </c>
      <c r="B19" s="4">
        <f>(A19-A13)/A13</f>
        <v>-0.3</v>
      </c>
      <c r="C19" s="5">
        <f>C13*1.6</f>
        <v>400</v>
      </c>
      <c r="I19" s="3"/>
      <c r="K19" s="1"/>
    </row>
    <row r="20" customFormat="1" spans="1:11">
      <c r="A20" s="3">
        <f>A13*0.65</f>
        <v>14918.956</v>
      </c>
      <c r="B20" s="4">
        <f>(A20-A13)/A13</f>
        <v>-0.35</v>
      </c>
      <c r="C20" s="5">
        <f>C13*1.7</f>
        <v>425</v>
      </c>
      <c r="K20" s="1"/>
    </row>
    <row r="21" customFormat="1" spans="1:11">
      <c r="A21" s="3">
        <f>A13*0.6</f>
        <v>13771.344</v>
      </c>
      <c r="B21" s="4">
        <f>(A21-A13)/A13</f>
        <v>-0.4</v>
      </c>
      <c r="C21" s="5">
        <f>C13*1.8</f>
        <v>450</v>
      </c>
      <c r="K21" s="1"/>
    </row>
    <row r="22" customFormat="1" spans="1:11">
      <c r="A22" s="3">
        <f>A13*0.55</f>
        <v>12623.732</v>
      </c>
      <c r="B22" s="4">
        <f>(A22-A13)/A13</f>
        <v>-0.45</v>
      </c>
      <c r="C22" s="5">
        <f>C13*1.9</f>
        <v>475</v>
      </c>
      <c r="K22" s="1"/>
    </row>
    <row r="23" customFormat="1" spans="1:11">
      <c r="A23" s="3">
        <f>A13*0.5</f>
        <v>11476.12</v>
      </c>
      <c r="B23" s="4">
        <f>(A23-A13)/A13</f>
        <v>-0.5</v>
      </c>
      <c r="C23" s="5">
        <f>C13*2</f>
        <v>500</v>
      </c>
      <c r="K23" s="1"/>
    </row>
    <row r="24" customFormat="1" spans="1:11">
      <c r="A24" s="3">
        <f>A13*0.45</f>
        <v>10328.508</v>
      </c>
      <c r="B24" s="4">
        <f>(A24-A13)/A13</f>
        <v>-0.55</v>
      </c>
      <c r="C24" s="5">
        <f>C13*2.1</f>
        <v>525</v>
      </c>
      <c r="K24" s="1"/>
    </row>
    <row r="25" customFormat="1" spans="1:11">
      <c r="A25" s="3">
        <f>A13*0.4</f>
        <v>9180.896</v>
      </c>
      <c r="B25" s="4">
        <f>(A25-A13)/A13</f>
        <v>-0.6</v>
      </c>
      <c r="C25" s="5">
        <f>C13*2.2</f>
        <v>550</v>
      </c>
      <c r="K25" s="1"/>
    </row>
    <row r="26" customFormat="1" spans="1:11">
      <c r="A26" s="3">
        <f>A13*0.35</f>
        <v>8033.284</v>
      </c>
      <c r="B26" s="4">
        <f>(A26-A13)/A13</f>
        <v>-0.65</v>
      </c>
      <c r="C26" s="5">
        <f>C13*2.3</f>
        <v>575</v>
      </c>
      <c r="K26" s="1"/>
    </row>
    <row r="27" customFormat="1" spans="11:11">
      <c r="K27" s="1"/>
    </row>
    <row r="28" customFormat="1" spans="11:11">
      <c r="K28" s="1"/>
    </row>
    <row r="29" customFormat="1" spans="11:11">
      <c r="K29" s="1"/>
    </row>
    <row r="30" customFormat="1" spans="1:11">
      <c r="A30" s="6">
        <v>22952.24</v>
      </c>
      <c r="B30">
        <f>(A30-A30)/A30</f>
        <v>0</v>
      </c>
      <c r="C30" s="7">
        <v>2000</v>
      </c>
      <c r="D30" s="8">
        <f>C30</f>
        <v>2000</v>
      </c>
      <c r="E30" s="10">
        <v>0</v>
      </c>
      <c r="F30" s="11">
        <v>0</v>
      </c>
      <c r="K30" s="1"/>
    </row>
    <row r="31" customFormat="1" spans="1:11">
      <c r="A31" s="3">
        <f>A30*0.95</f>
        <v>21804.628</v>
      </c>
      <c r="B31" s="4">
        <f>(A31-A30)/A30</f>
        <v>-0.05</v>
      </c>
      <c r="C31" s="5">
        <f t="shared" ref="C31:C39" si="2">C30*1.1</f>
        <v>2200</v>
      </c>
      <c r="E31" s="10">
        <f>(A31-A30)/A30*C30</f>
        <v>-100</v>
      </c>
      <c r="F31" s="11">
        <f>E31/SUM(C30:C31)</f>
        <v>-0.0238095238095238</v>
      </c>
      <c r="K31" s="1"/>
    </row>
    <row r="32" customFormat="1" spans="1:11">
      <c r="A32" s="3">
        <f>A30*0.9</f>
        <v>20657.016</v>
      </c>
      <c r="B32" s="4">
        <f>(A32-A30)/A30</f>
        <v>-0.0999999999999999</v>
      </c>
      <c r="C32" s="5">
        <f t="shared" si="2"/>
        <v>2420</v>
      </c>
      <c r="E32" s="10">
        <f>(A32-A30)/A30*C30+(A32-A31)/A31*C31</f>
        <v>-315.789473684211</v>
      </c>
      <c r="F32" s="11">
        <f>E32/SUM(C30:C32)</f>
        <v>-0.0477023374145333</v>
      </c>
      <c r="K32" s="1"/>
    </row>
    <row r="33" customFormat="1" spans="1:11">
      <c r="A33" s="3">
        <f>A30*0.85</f>
        <v>19509.404</v>
      </c>
      <c r="B33" s="4">
        <f>(A33-A30)/A30</f>
        <v>-0.15</v>
      </c>
      <c r="C33" s="5">
        <f t="shared" si="2"/>
        <v>2662</v>
      </c>
      <c r="E33" s="10">
        <f>(A33-A30)/A30*C30+(A33-A31)/A31*C31+(A33-A32)/A32*C32</f>
        <v>-666.023391812866</v>
      </c>
      <c r="F33" s="11">
        <f>E33/SUM(C30:C33)</f>
        <v>-0.0717542977604898</v>
      </c>
      <c r="K33" s="1"/>
    </row>
    <row r="34" customFormat="1" spans="1:11">
      <c r="A34" s="3">
        <f>A30*0.8</f>
        <v>18361.792</v>
      </c>
      <c r="B34" s="4">
        <f>(A34-A30)/A30</f>
        <v>-0.2</v>
      </c>
      <c r="C34" s="5">
        <f t="shared" si="2"/>
        <v>2928.2</v>
      </c>
      <c r="E34" s="10">
        <f>(A34-A30)/A30*C30+(A34-A31)/A31*C31+(A34-A32)/A32*C32+(A34-A33)/A33*C33</f>
        <v>-1172.84554523564</v>
      </c>
      <c r="F34" s="11">
        <f>E34/SUM(C30:C34)</f>
        <v>-0.0960545728354685</v>
      </c>
      <c r="K34" s="1"/>
    </row>
    <row r="35" customFormat="1" spans="1:11">
      <c r="A35" s="3">
        <f>A30*0.75</f>
        <v>17214.18</v>
      </c>
      <c r="B35" s="4">
        <f>(A35-A30)/A30</f>
        <v>-0.25</v>
      </c>
      <c r="C35" s="5">
        <f t="shared" si="2"/>
        <v>3221.02</v>
      </c>
      <c r="E35" s="10">
        <f>(A35-A30)/A30*C30+(A35-A31)/A31*C31+(A35-A32)/A32*C32+(A35-A33)/A33*C33+(A35-A34)/A34*C34</f>
        <v>-1862.68019865841</v>
      </c>
      <c r="F35" s="11">
        <f>E35/SUM(C30:C35)</f>
        <v>-0.120708550500765</v>
      </c>
      <c r="K35" s="1"/>
    </row>
    <row r="36" customFormat="1" spans="1:11">
      <c r="A36" s="3">
        <f>A30*0.7</f>
        <v>16066.568</v>
      </c>
      <c r="B36" s="4">
        <f>(A36-A30)/A30</f>
        <v>-0.3</v>
      </c>
      <c r="C36" s="5">
        <f t="shared" si="2"/>
        <v>3543.122</v>
      </c>
      <c r="E36" s="10">
        <f>(A36-A30)/A30*C30+(A36-A31)/A31*C31+(A36-A32)/A32*C32+(A36-A33)/A33*C33+(A36-A34)/A34*C34+(A36-A35)/A35*C35</f>
        <v>-2767.24951874785</v>
      </c>
      <c r="F36" s="11">
        <f>E36/SUM(C30:C36)</f>
        <v>-0.145841659159925</v>
      </c>
      <c r="K36" s="1"/>
    </row>
    <row r="37" customFormat="1" spans="1:11">
      <c r="A37" s="3">
        <f>A30*0.65</f>
        <v>14918.956</v>
      </c>
      <c r="B37" s="4">
        <f>(A37-A30)/A30</f>
        <v>-0.35</v>
      </c>
      <c r="C37" s="5">
        <f t="shared" si="2"/>
        <v>3897.4342</v>
      </c>
      <c r="E37" s="10">
        <f>(A37-A30)/A30*C30+(A37-A31)/A31*C31+(A37-A32)/A32*C32+(A37-A33)/A33*C33+(A37-A34)/A34*C34+(A37-A35)/A35*C35+(A37-A36)/A36*C36</f>
        <v>-3924.89898169443</v>
      </c>
      <c r="F37" s="11">
        <f>E37/SUM(C30:C37)</f>
        <v>-0.171604467767328</v>
      </c>
      <c r="K37" s="1"/>
    </row>
    <row r="38" customFormat="1" spans="1:11">
      <c r="A38" s="3">
        <f>A30*0.6</f>
        <v>13771.344</v>
      </c>
      <c r="B38" s="4">
        <f>(A38-A30)/A30</f>
        <v>-0.4</v>
      </c>
      <c r="C38" s="5">
        <f t="shared" si="2"/>
        <v>4287.17762</v>
      </c>
      <c r="E38" s="10">
        <f>(A38-A30)/A30*C30+(A38-A31)/A31*C31+(A38-A32)/A32*C32+(A38-A33)/A33*C33+(A38-A34)/A34*C34+(A38-A35)/A35*C35+(A38-A36)/A36*C36+(A38-A37)/A37*C37</f>
        <v>-5382.35107541025</v>
      </c>
      <c r="F38" s="11">
        <f>E38/SUM(C30:C38)</f>
        <v>-0.198179617340291</v>
      </c>
      <c r="K38" s="1"/>
    </row>
    <row r="39" customFormat="1" spans="1:11">
      <c r="A39" s="3">
        <f>A30*0.55</f>
        <v>12623.732</v>
      </c>
      <c r="B39" s="4">
        <f>(A39-A30)/A30</f>
        <v>-0.45</v>
      </c>
      <c r="C39" s="5">
        <f t="shared" si="2"/>
        <v>4715.895382</v>
      </c>
      <c r="E39" s="10">
        <f>(A39-A30)/A30*C30+(A39-A31)/A31*C31+(A39-A32)/A32*C32+(A39-A33)/A33*C33+(A39-A34)/A34*C34+(A39-A35)/A35*C35+(A39-A36)/A36*C36+(A39-A37)/A37*C37+(A39-A38)/A38*C38</f>
        <v>-7197.06797079272</v>
      </c>
      <c r="F39" s="11">
        <f>E39/SUM(C30:C39)</f>
        <v>-0.225791435911833</v>
      </c>
      <c r="K39" s="1"/>
    </row>
    <row r="40" customFormat="1" spans="11:11">
      <c r="K40" s="1"/>
    </row>
    <row r="41" customFormat="1" spans="3:11">
      <c r="C41" s="9">
        <f>SUM(C30:C39)</f>
        <v>31874.849202</v>
      </c>
      <c r="D41" s="8">
        <f>SUM(D30:D39)</f>
        <v>2000</v>
      </c>
      <c r="K41" s="1"/>
    </row>
  </sheetData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1"/>
  <sheetViews>
    <sheetView workbookViewId="0">
      <selection activeCell="G7" sqref="G7"/>
    </sheetView>
  </sheetViews>
  <sheetFormatPr defaultColWidth="9" defaultRowHeight="17.6"/>
  <cols>
    <col min="1" max="2" width="15.7767857142857" customWidth="1"/>
    <col min="3" max="3" width="21.1339285714286" customWidth="1"/>
    <col min="4" max="4" width="12.7857142857143" customWidth="1"/>
    <col min="5" max="5" width="12.0535714285714" customWidth="1"/>
    <col min="6" max="6" width="16.2142857142857" customWidth="1"/>
    <col min="7" max="8" width="12.7857142857143" customWidth="1"/>
    <col min="9" max="9" width="13.6964285714286" customWidth="1"/>
    <col min="10" max="10" width="10.7857142857143" customWidth="1"/>
    <col min="11" max="11" width="15.9196428571429" style="1" customWidth="1"/>
    <col min="12" max="12" width="13.0892857142857" customWidth="1"/>
    <col min="13" max="21" width="10.7857142857143" customWidth="1"/>
    <col min="22" max="22" width="13" customWidth="1"/>
    <col min="23" max="23" width="10.7857142857143" customWidth="1"/>
    <col min="24" max="24" width="12.6517857142857" customWidth="1"/>
    <col min="25" max="25" width="17.5625" customWidth="1"/>
  </cols>
  <sheetData>
    <row r="1" customFormat="1" spans="2:11">
      <c r="B1" s="2"/>
      <c r="D1" s="2"/>
      <c r="K1" s="1"/>
    </row>
    <row r="2" customFormat="1" spans="11:22">
      <c r="K2" s="12"/>
      <c r="L2" s="5"/>
      <c r="M2" s="5"/>
      <c r="N2" s="5"/>
      <c r="O2" s="5"/>
      <c r="P2" s="5"/>
      <c r="Q2" s="5"/>
      <c r="R2" s="5"/>
      <c r="S2" s="5"/>
      <c r="T2" s="5"/>
      <c r="V2" s="14"/>
    </row>
    <row r="3" customFormat="1" spans="11:20">
      <c r="K3" s="1"/>
      <c r="L3" s="3"/>
      <c r="M3" s="3"/>
      <c r="N3" s="3"/>
      <c r="O3" s="3"/>
      <c r="P3" s="3"/>
      <c r="Q3" s="3"/>
      <c r="R3" s="3"/>
      <c r="S3" s="3"/>
      <c r="T3" s="3"/>
    </row>
    <row r="4" customFormat="1" spans="11:11">
      <c r="K4" s="1"/>
    </row>
    <row r="5" customFormat="1" spans="1:24">
      <c r="A5" s="3">
        <f t="shared" ref="A5:A12" si="0">A6*105%</f>
        <v>2893.24189735437</v>
      </c>
      <c r="B5" s="4">
        <f>(A5-A13)/A13</f>
        <v>0.477455443789063</v>
      </c>
      <c r="C5" s="5">
        <f t="shared" ref="C5:C12" si="1">C6*0.9</f>
        <v>172.186884</v>
      </c>
      <c r="D5" s="5"/>
      <c r="E5" s="5"/>
      <c r="F5" s="5"/>
      <c r="G5" s="5"/>
      <c r="H5" s="5"/>
      <c r="I5" s="5"/>
      <c r="J5" s="5"/>
      <c r="K5" s="1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1" spans="1:24">
      <c r="A6" s="3">
        <f t="shared" si="0"/>
        <v>2755.46847367083</v>
      </c>
      <c r="B6" s="4">
        <f>(A6-A13)/A13</f>
        <v>0.407100422656251</v>
      </c>
      <c r="C6" s="5">
        <f t="shared" si="1"/>
        <v>191.31876</v>
      </c>
      <c r="D6" s="3"/>
      <c r="E6" s="3"/>
      <c r="F6" s="3"/>
      <c r="G6" s="3"/>
      <c r="H6" s="3"/>
      <c r="I6" s="3"/>
      <c r="J6" s="3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1" spans="1:11">
      <c r="A7" s="3">
        <f t="shared" si="0"/>
        <v>2624.25568921031</v>
      </c>
      <c r="B7" s="4">
        <f>(A7-A13)/A13</f>
        <v>0.340095640625</v>
      </c>
      <c r="C7" s="5">
        <f t="shared" si="1"/>
        <v>212.5764</v>
      </c>
      <c r="K7" s="13"/>
    </row>
    <row r="8" customFormat="1" spans="1:11">
      <c r="A8" s="3">
        <f t="shared" si="0"/>
        <v>2499.29113258125</v>
      </c>
      <c r="B8" s="4">
        <f>(A8-A13)/A13</f>
        <v>0.2762815625</v>
      </c>
      <c r="C8" s="5">
        <f t="shared" si="1"/>
        <v>236.196</v>
      </c>
      <c r="I8" s="3"/>
      <c r="K8" s="1"/>
    </row>
    <row r="9" customFormat="1" spans="1:11">
      <c r="A9" s="3">
        <f t="shared" si="0"/>
        <v>2380.277269125</v>
      </c>
      <c r="B9" s="4">
        <f>(A9-A13)/A13</f>
        <v>0.21550625</v>
      </c>
      <c r="C9" s="5">
        <f t="shared" si="1"/>
        <v>262.44</v>
      </c>
      <c r="I9" s="3"/>
      <c r="K9" s="1"/>
    </row>
    <row r="10" customFormat="1" spans="1:11">
      <c r="A10" s="3">
        <f t="shared" si="0"/>
        <v>2266.9307325</v>
      </c>
      <c r="B10" s="4">
        <f>(A10-A13)/A13</f>
        <v>0.157625</v>
      </c>
      <c r="C10" s="5">
        <f t="shared" si="1"/>
        <v>291.6</v>
      </c>
      <c r="I10" s="3"/>
      <c r="K10" s="1"/>
    </row>
    <row r="11" customFormat="1" spans="1:11">
      <c r="A11" s="3">
        <f t="shared" si="0"/>
        <v>2158.98165</v>
      </c>
      <c r="B11" s="4">
        <f>(A11-A13)/A13</f>
        <v>0.1025</v>
      </c>
      <c r="C11" s="5">
        <f t="shared" si="1"/>
        <v>324</v>
      </c>
      <c r="I11" s="3"/>
      <c r="K11" s="1"/>
    </row>
    <row r="12" customFormat="1" spans="1:24">
      <c r="A12" s="3">
        <f t="shared" si="0"/>
        <v>2056.173</v>
      </c>
      <c r="B12" s="4">
        <f>(A12-A13)/A13</f>
        <v>0.0500000000000001</v>
      </c>
      <c r="C12" s="5">
        <f t="shared" si="1"/>
        <v>360</v>
      </c>
      <c r="D12" s="5"/>
      <c r="E12" s="5"/>
      <c r="F12" s="5"/>
      <c r="G12" s="5"/>
      <c r="H12" s="5"/>
      <c r="I12" s="5"/>
      <c r="J12" s="5"/>
      <c r="K12" s="1"/>
      <c r="U12" s="5"/>
      <c r="V12" s="5"/>
      <c r="W12" s="5"/>
      <c r="X12" s="5"/>
    </row>
    <row r="13" customFormat="1" spans="1:24">
      <c r="A13" s="6">
        <v>1958.26</v>
      </c>
      <c r="B13">
        <f>(A13-A13)/A13</f>
        <v>0</v>
      </c>
      <c r="C13" s="7">
        <v>400</v>
      </c>
      <c r="D13" s="3"/>
      <c r="E13" s="3"/>
      <c r="F13" s="3"/>
      <c r="G13" s="3"/>
      <c r="H13" s="3"/>
      <c r="I13" s="3"/>
      <c r="J13" s="3"/>
      <c r="K13" s="1"/>
      <c r="U13" s="3"/>
      <c r="V13" s="3"/>
      <c r="W13" s="3"/>
      <c r="X13" s="3"/>
    </row>
    <row r="14" customFormat="1" spans="1:11">
      <c r="A14" s="3">
        <f>A13*0.95</f>
        <v>1860.347</v>
      </c>
      <c r="B14" s="4">
        <f>(A14-A13)/A13</f>
        <v>-0.05</v>
      </c>
      <c r="C14" s="5">
        <f>C13*1.1</f>
        <v>440</v>
      </c>
      <c r="K14" s="13"/>
    </row>
    <row r="15" customFormat="1" spans="1:11">
      <c r="A15" s="3">
        <f>A13*0.9</f>
        <v>1762.434</v>
      </c>
      <c r="B15" s="4">
        <f>(A15-A13)/A13</f>
        <v>-0.1</v>
      </c>
      <c r="C15" s="5">
        <f>C13*1.2</f>
        <v>480</v>
      </c>
      <c r="I15" s="3"/>
      <c r="K15" s="1"/>
    </row>
    <row r="16" customFormat="1" spans="1:11">
      <c r="A16" s="3">
        <f>A13*0.85</f>
        <v>1664.521</v>
      </c>
      <c r="B16" s="4">
        <f>(A16-A13)/A13</f>
        <v>-0.15</v>
      </c>
      <c r="C16" s="5">
        <f>C13*1.3</f>
        <v>520</v>
      </c>
      <c r="I16" s="3"/>
      <c r="K16" s="1"/>
    </row>
    <row r="17" customFormat="1" spans="1:11">
      <c r="A17" s="3">
        <f>A13*0.8</f>
        <v>1566.608</v>
      </c>
      <c r="B17" s="4">
        <f>(A17-A13)/A13</f>
        <v>-0.2</v>
      </c>
      <c r="C17" s="5">
        <f>C13*1.4</f>
        <v>560</v>
      </c>
      <c r="I17" s="3"/>
      <c r="K17" s="1"/>
    </row>
    <row r="18" customFormat="1" spans="1:11">
      <c r="A18" s="3">
        <f>A13*0.75</f>
        <v>1468.695</v>
      </c>
      <c r="B18" s="4">
        <f>(A18-A13)/A13</f>
        <v>-0.25</v>
      </c>
      <c r="C18" s="5">
        <f>C13*1.5</f>
        <v>600</v>
      </c>
      <c r="I18" s="3"/>
      <c r="K18" s="1"/>
    </row>
    <row r="19" customFormat="1" spans="1:11">
      <c r="A19" s="3">
        <f>A13*0.7</f>
        <v>1370.782</v>
      </c>
      <c r="B19" s="4">
        <f>(A19-A13)/A13</f>
        <v>-0.3</v>
      </c>
      <c r="C19" s="5">
        <f>C13*1.6</f>
        <v>640</v>
      </c>
      <c r="I19" s="3"/>
      <c r="K19" s="1"/>
    </row>
    <row r="20" customFormat="1" spans="1:11">
      <c r="A20" s="3">
        <f>A13*0.65</f>
        <v>1272.869</v>
      </c>
      <c r="B20" s="4">
        <f>(A20-A13)/A13</f>
        <v>-0.35</v>
      </c>
      <c r="C20" s="5">
        <f>C13*1.7</f>
        <v>680</v>
      </c>
      <c r="K20" s="1"/>
    </row>
    <row r="21" customFormat="1" spans="1:11">
      <c r="A21" s="3">
        <f>A13*0.6</f>
        <v>1174.956</v>
      </c>
      <c r="B21" s="4">
        <f>(A21-A13)/A13</f>
        <v>-0.4</v>
      </c>
      <c r="C21" s="5">
        <f>C13*1.8</f>
        <v>720</v>
      </c>
      <c r="K21" s="1"/>
    </row>
    <row r="22" customFormat="1" spans="1:11">
      <c r="A22" s="3">
        <f>A13*0.55</f>
        <v>1077.043</v>
      </c>
      <c r="B22" s="4">
        <f>(A22-A13)/A13</f>
        <v>-0.45</v>
      </c>
      <c r="C22" s="5">
        <f>C13*1.9</f>
        <v>760</v>
      </c>
      <c r="K22" s="1"/>
    </row>
    <row r="23" customFormat="1" spans="1:11">
      <c r="A23" s="3">
        <f>A13*0.5</f>
        <v>979.13</v>
      </c>
      <c r="B23" s="4">
        <f>(A23-A13)/A13</f>
        <v>-0.5</v>
      </c>
      <c r="C23" s="5">
        <f>C13*2</f>
        <v>800</v>
      </c>
      <c r="K23" s="1"/>
    </row>
    <row r="24" customFormat="1" spans="1:11">
      <c r="A24" s="3">
        <f>A13*0.45</f>
        <v>881.217</v>
      </c>
      <c r="B24" s="4">
        <f>(A24-A13)/A13</f>
        <v>-0.55</v>
      </c>
      <c r="C24" s="5">
        <f>C13*2.1</f>
        <v>840</v>
      </c>
      <c r="K24" s="1"/>
    </row>
    <row r="25" customFormat="1" spans="1:11">
      <c r="A25" s="3">
        <f>A13*0.4</f>
        <v>783.304</v>
      </c>
      <c r="B25" s="4">
        <f>(A25-A13)/A13</f>
        <v>-0.6</v>
      </c>
      <c r="C25" s="5">
        <f>C13*2.2</f>
        <v>880</v>
      </c>
      <c r="K25" s="1"/>
    </row>
    <row r="26" customFormat="1" spans="1:11">
      <c r="A26" s="3">
        <f>A13*0.35</f>
        <v>685.391</v>
      </c>
      <c r="B26" s="4">
        <f>(A26-A13)/A13</f>
        <v>-0.65</v>
      </c>
      <c r="C26" s="5">
        <f>C13*2.3</f>
        <v>920</v>
      </c>
      <c r="K26" s="1"/>
    </row>
    <row r="27" customFormat="1" spans="11:11">
      <c r="K27" s="1"/>
    </row>
    <row r="28" customFormat="1" spans="11:11">
      <c r="K28" s="1"/>
    </row>
    <row r="29" customFormat="1" spans="11:11">
      <c r="K29" s="1"/>
    </row>
    <row r="30" customFormat="1" spans="1:11">
      <c r="A30" s="6">
        <v>1958.26</v>
      </c>
      <c r="B30">
        <f>(A30-A30)/A30</f>
        <v>0</v>
      </c>
      <c r="C30" s="7">
        <v>3000</v>
      </c>
      <c r="D30" s="8">
        <f>C30</f>
        <v>3000</v>
      </c>
      <c r="E30" s="10">
        <v>0</v>
      </c>
      <c r="F30" s="11">
        <v>0</v>
      </c>
      <c r="K30" s="1"/>
    </row>
    <row r="31" customFormat="1" spans="1:11">
      <c r="A31" s="3">
        <f>A30*0.95</f>
        <v>1860.347</v>
      </c>
      <c r="B31" s="4">
        <f>(A31-A30)/A30</f>
        <v>-0.05</v>
      </c>
      <c r="C31" s="5">
        <f t="shared" ref="C31:C39" si="2">C30*1.1</f>
        <v>3300</v>
      </c>
      <c r="E31" s="10">
        <f>(A31-A30)/A30*C30</f>
        <v>-150</v>
      </c>
      <c r="F31" s="11">
        <f>E31/SUM(C30:C31)</f>
        <v>-0.0238095238095238</v>
      </c>
      <c r="K31" s="1"/>
    </row>
    <row r="32" customFormat="1" spans="1:11">
      <c r="A32" s="3">
        <f>A30*0.9</f>
        <v>1762.434</v>
      </c>
      <c r="B32" s="4">
        <f>(A32-A30)/A30</f>
        <v>-0.1</v>
      </c>
      <c r="C32" s="5">
        <f t="shared" si="2"/>
        <v>3630</v>
      </c>
      <c r="E32" s="10">
        <f>(A32-A30)/A30*C30+(A32-A31)/A31*C31</f>
        <v>-473.684210526316</v>
      </c>
      <c r="F32" s="11">
        <f>E32/SUM(C30:C32)</f>
        <v>-0.0477023374145333</v>
      </c>
      <c r="K32" s="1"/>
    </row>
    <row r="33" customFormat="1" spans="1:11">
      <c r="A33" s="3">
        <f>A30*0.85</f>
        <v>1664.521</v>
      </c>
      <c r="B33" s="4">
        <f>(A33-A30)/A30</f>
        <v>-0.15</v>
      </c>
      <c r="C33" s="5">
        <f t="shared" si="2"/>
        <v>3993</v>
      </c>
      <c r="E33" s="10">
        <f>(A33-A30)/A30*C30+(A33-A31)/A31*C31+(A33-A32)/A32*C32</f>
        <v>-999.035087719298</v>
      </c>
      <c r="F33" s="11">
        <f>E33/SUM(C30:C33)</f>
        <v>-0.0717542977604897</v>
      </c>
      <c r="K33" s="1"/>
    </row>
    <row r="34" customFormat="1" spans="1:11">
      <c r="A34" s="3">
        <f>A30*0.8</f>
        <v>1566.608</v>
      </c>
      <c r="B34" s="4">
        <f>(A34-A30)/A30</f>
        <v>-0.2</v>
      </c>
      <c r="C34" s="5">
        <f t="shared" si="2"/>
        <v>4392.3</v>
      </c>
      <c r="E34" s="10">
        <f>(A34-A30)/A30*C30+(A34-A31)/A31*C31+(A34-A32)/A32*C32+(A34-A33)/A33*C33</f>
        <v>-1759.26831785346</v>
      </c>
      <c r="F34" s="11">
        <f>E34/SUM(C30:C34)</f>
        <v>-0.0960545728354685</v>
      </c>
      <c r="K34" s="1"/>
    </row>
    <row r="35" customFormat="1" spans="1:11">
      <c r="A35" s="3">
        <f>A30*0.75</f>
        <v>1468.695</v>
      </c>
      <c r="B35" s="4">
        <f>(A35-A30)/A30</f>
        <v>-0.25</v>
      </c>
      <c r="C35" s="5">
        <f t="shared" si="2"/>
        <v>4831.53</v>
      </c>
      <c r="E35" s="10">
        <f>(A35-A30)/A30*C30+(A35-A31)/A31*C31+(A35-A32)/A32*C32+(A35-A33)/A33*C33+(A35-A34)/A34*C34</f>
        <v>-2794.02029798762</v>
      </c>
      <c r="F35" s="11">
        <f>E35/SUM(C30:C35)</f>
        <v>-0.120708550500765</v>
      </c>
      <c r="K35" s="1"/>
    </row>
    <row r="36" customFormat="1" spans="1:11">
      <c r="A36" s="3">
        <f>A30*0.7</f>
        <v>1370.782</v>
      </c>
      <c r="B36" s="4">
        <f>(A36-A30)/A30</f>
        <v>-0.3</v>
      </c>
      <c r="C36" s="5">
        <f t="shared" si="2"/>
        <v>5314.683</v>
      </c>
      <c r="E36" s="10">
        <f>(A36-A30)/A30*C30+(A36-A31)/A31*C31+(A36-A32)/A32*C32+(A36-A33)/A33*C33+(A36-A34)/A34*C34+(A36-A35)/A35*C35</f>
        <v>-4150.87427812178</v>
      </c>
      <c r="F36" s="11">
        <f>E36/SUM(C30:C36)</f>
        <v>-0.145841659159925</v>
      </c>
      <c r="K36" s="1"/>
    </row>
    <row r="37" customFormat="1" spans="1:11">
      <c r="A37" s="3">
        <f>A30*0.65</f>
        <v>1272.869</v>
      </c>
      <c r="B37" s="4">
        <f>(A37-A30)/A30</f>
        <v>-0.35</v>
      </c>
      <c r="C37" s="5">
        <f t="shared" si="2"/>
        <v>5846.1513</v>
      </c>
      <c r="E37" s="10">
        <f>(A37-A30)/A30*C30+(A37-A31)/A31*C31+(A37-A32)/A32*C32+(A37-A33)/A33*C33+(A37-A34)/A34*C34+(A37-A35)/A35*C35+(A37-A36)/A36*C36</f>
        <v>-5887.34847254165</v>
      </c>
      <c r="F37" s="11">
        <f>E37/SUM(C30:C37)</f>
        <v>-0.171604467767328</v>
      </c>
      <c r="K37" s="1"/>
    </row>
    <row r="38" customFormat="1" spans="1:11">
      <c r="A38" s="3">
        <f>A30*0.6</f>
        <v>1174.956</v>
      </c>
      <c r="B38" s="4">
        <f>(A38-A30)/A30</f>
        <v>-0.4</v>
      </c>
      <c r="C38" s="5">
        <f t="shared" si="2"/>
        <v>6430.76643</v>
      </c>
      <c r="E38" s="10">
        <f>(A38-A30)/A30*C30+(A38-A31)/A31*C31+(A38-A32)/A32*C32+(A38-A33)/A33*C33+(A38-A34)/A34*C34+(A38-A35)/A35*C35+(A38-A36)/A36*C36+(A38-A37)/A37*C37</f>
        <v>-8073.52661311537</v>
      </c>
      <c r="F38" s="11">
        <f>E38/SUM(C30:C38)</f>
        <v>-0.198179617340291</v>
      </c>
      <c r="K38" s="1"/>
    </row>
    <row r="39" customFormat="1" spans="1:11">
      <c r="A39" s="3">
        <f>A30*0.55</f>
        <v>1077.043</v>
      </c>
      <c r="B39" s="4">
        <f>(A39-A30)/A30</f>
        <v>-0.45</v>
      </c>
      <c r="C39" s="5">
        <f t="shared" si="2"/>
        <v>7073.84307300001</v>
      </c>
      <c r="E39" s="10">
        <f>(A39-A30)/A30*C30+(A39-A31)/A31*C31+(A39-A32)/A32*C32+(A39-A33)/A33*C33+(A39-A34)/A34*C34+(A39-A35)/A35*C35+(A39-A36)/A36*C36+(A39-A37)/A37*C37+(A39-A38)/A38*C38</f>
        <v>-10795.6019561891</v>
      </c>
      <c r="F39" s="11">
        <f>E39/SUM(C30:C39)</f>
        <v>-0.225791435911833</v>
      </c>
      <c r="K39" s="1"/>
    </row>
    <row r="40" customFormat="1" spans="11:11">
      <c r="K40" s="1"/>
    </row>
    <row r="41" customFormat="1" spans="3:11">
      <c r="C41" s="9">
        <f>SUM(C30:C39)</f>
        <v>47812.273803</v>
      </c>
      <c r="D41" s="8">
        <f>SUM(D30:D39)</f>
        <v>3000</v>
      </c>
      <c r="K41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策略</vt:lpstr>
      <vt:lpstr>300价值</vt:lpstr>
      <vt:lpstr>沪深300</vt:lpstr>
      <vt:lpstr>基本面50</vt:lpstr>
      <vt:lpstr>50AH</vt:lpstr>
      <vt:lpstr>上证50</vt:lpstr>
      <vt:lpstr>中证500</vt:lpstr>
      <vt:lpstr>中小板</vt:lpstr>
      <vt:lpstr>银行</vt:lpstr>
      <vt:lpstr>证券</vt:lpstr>
      <vt:lpstr>军工</vt:lpstr>
      <vt:lpstr>地产等权</vt:lpstr>
      <vt:lpstr>基建</vt:lpstr>
      <vt:lpstr>养老</vt:lpstr>
      <vt:lpstr>中证红利</vt:lpstr>
      <vt:lpstr>恒生指数</vt:lpstr>
      <vt:lpstr>中证保险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wujingchao</dc:creator>
  <dcterms:created xsi:type="dcterms:W3CDTF">2020-04-25T20:58:00Z</dcterms:created>
  <dcterms:modified xsi:type="dcterms:W3CDTF">2020-07-24T23:10:26Z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2052-2.0.0.3163</vt:lpwstr>
  </property>
</Properties>
</file>